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ables/table5.xml" ContentType="application/vnd.openxmlformats-officedocument.spreadsheetml.table+xml"/>
  <Override PartName="/xl/drawings/drawing3.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4.xml" ContentType="application/vnd.openxmlformats-officedocument.drawing+xml"/>
  <Override PartName="/xl/tables/table9.xml" ContentType="application/vnd.openxmlformats-officedocument.spreadsheetml.table+xml"/>
  <Override PartName="/xl/drawings/drawing5.xml" ContentType="application/vnd.openxmlformats-officedocument.drawing+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ownloads\"/>
    </mc:Choice>
  </mc:AlternateContent>
  <bookViews>
    <workbookView xWindow="0" yWindow="0" windowWidth="19200" windowHeight="6780" activeTab="2"/>
  </bookViews>
  <sheets>
    <sheet name="Requisitos" sheetId="11" r:id="rId1"/>
    <sheet name="Modelo General" sheetId="1" r:id="rId2"/>
    <sheet name="Precio casa en venta" sheetId="10" r:id="rId3"/>
    <sheet name="Materiales" sheetId="2" r:id="rId4"/>
    <sheet name="Riesgos " sheetId="3" r:id="rId5"/>
    <sheet name="Tecnología" sheetId="4" r:id="rId6"/>
    <sheet name="Metricas Financieras" sheetId="6" r:id="rId7"/>
    <sheet name="Indicadores de mercado" sheetId="7" r:id="rId8"/>
    <sheet name="Perfil de demanda" sheetId="8" r:id="rId9"/>
    <sheet name="Credito" sheetId="9" r:id="rId10"/>
  </sheets>
  <definedNames>
    <definedName name="_xlnm._FilterDatabase" localSheetId="3" hidden="1">Materiales!$A$10:$J$10</definedName>
    <definedName name="_xlnm._FilterDatabase" localSheetId="1" hidden="1">'Modelo General'!$A$14:$J$14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4" i="6" l="1"/>
  <c r="E6" i="6" s="1"/>
  <c r="H4" i="6"/>
  <c r="H5" i="6" s="1"/>
  <c r="E7" i="6"/>
  <c r="E8" i="6"/>
  <c r="B15" i="6"/>
  <c r="C15" i="6" s="1"/>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E13" i="6"/>
  <c r="E12" i="6" l="1"/>
  <c r="E5" i="6"/>
  <c r="C16" i="6"/>
  <c r="C17" i="6" s="1"/>
  <c r="C18" i="6" s="1"/>
  <c r="C19" i="6" s="1"/>
  <c r="C20" i="6" s="1"/>
  <c r="C21" i="6" s="1"/>
  <c r="C22" i="6" s="1"/>
  <c r="C23" i="6" s="1"/>
  <c r="C24" i="6" s="1"/>
  <c r="C25" i="6" s="1"/>
  <c r="C26" i="6" s="1"/>
  <c r="C27" i="6" s="1"/>
  <c r="C28" i="6" s="1"/>
  <c r="C29" i="6" s="1"/>
  <c r="C30" i="6" s="1"/>
  <c r="C31" i="6" s="1"/>
  <c r="C32" i="6" s="1"/>
  <c r="C33" i="6" s="1"/>
  <c r="C34" i="6" s="1"/>
  <c r="C35" i="6" s="1"/>
  <c r="C36" i="6" s="1"/>
  <c r="C37" i="6" s="1"/>
  <c r="C38" i="6" s="1"/>
  <c r="C39" i="6" s="1"/>
  <c r="C40" i="6" s="1"/>
  <c r="C41" i="6" s="1"/>
  <c r="C42" i="6" s="1"/>
  <c r="C43" i="6" s="1"/>
  <c r="C44" i="6" s="1"/>
  <c r="C45" i="6" s="1"/>
  <c r="C46" i="6" s="1"/>
  <c r="C47" i="6" s="1"/>
  <c r="C48" i="6" s="1"/>
  <c r="C49" i="6" s="1"/>
  <c r="C50" i="6" s="1"/>
  <c r="C51" i="6" s="1"/>
  <c r="C52" i="6" s="1"/>
  <c r="C53" i="6" s="1"/>
  <c r="C54" i="6" s="1"/>
  <c r="C55" i="6" s="1"/>
  <c r="C56" i="6" s="1"/>
  <c r="C57" i="6" s="1"/>
  <c r="C58" i="6" s="1"/>
  <c r="C59" i="6" s="1"/>
  <c r="C60" i="6" s="1"/>
  <c r="C61" i="6" s="1"/>
  <c r="C62" i="6" s="1"/>
  <c r="C63" i="6" s="1"/>
  <c r="C64" i="6" s="1"/>
  <c r="C65" i="6" s="1"/>
  <c r="C66" i="6" s="1"/>
  <c r="C67" i="6" s="1"/>
  <c r="C68" i="6" s="1"/>
  <c r="C69" i="6" s="1"/>
  <c r="C70" i="6" s="1"/>
  <c r="C71" i="6" s="1"/>
  <c r="C72" i="6" s="1"/>
  <c r="C73" i="6" s="1"/>
  <c r="C74" i="6" s="1"/>
  <c r="C75" i="6" s="1"/>
  <c r="E11" i="6"/>
  <c r="G27" i="2"/>
  <c r="G28" i="2"/>
  <c r="G29" i="2"/>
  <c r="G30" i="2"/>
  <c r="E27" i="2"/>
  <c r="H27" i="2" s="1"/>
  <c r="E28" i="2"/>
  <c r="H28" i="2" s="1"/>
  <c r="E29" i="2"/>
  <c r="H29" i="2" s="1"/>
  <c r="E30" i="2"/>
  <c r="G24" i="2"/>
  <c r="G25" i="2"/>
  <c r="G26" i="2"/>
  <c r="G23" i="2"/>
  <c r="G22" i="2"/>
  <c r="E24" i="2"/>
  <c r="E25" i="2"/>
  <c r="E26" i="2"/>
  <c r="E23" i="2"/>
  <c r="G21" i="2"/>
  <c r="G11" i="2"/>
  <c r="G17" i="2"/>
  <c r="G18" i="2"/>
  <c r="G19" i="2"/>
  <c r="G20" i="2"/>
  <c r="G12" i="2"/>
  <c r="E19" i="2"/>
  <c r="E20" i="2"/>
  <c r="E21" i="2"/>
  <c r="E22" i="2"/>
  <c r="E17" i="2"/>
  <c r="E18" i="2"/>
  <c r="G16" i="2"/>
  <c r="G13" i="2"/>
  <c r="G14" i="2"/>
  <c r="E12" i="2"/>
  <c r="E13" i="2"/>
  <c r="E14" i="2"/>
  <c r="E15" i="2"/>
  <c r="E16" i="2"/>
  <c r="E11" i="2"/>
  <c r="H11" i="2" s="1"/>
  <c r="H22" i="2" l="1"/>
  <c r="H18" i="2"/>
  <c r="H24" i="2"/>
  <c r="H25" i="2"/>
  <c r="H12" i="2"/>
  <c r="H17" i="2"/>
  <c r="H30" i="2"/>
  <c r="H16" i="2"/>
  <c r="H20" i="2"/>
  <c r="H23" i="2"/>
  <c r="H19" i="2"/>
  <c r="H21" i="2"/>
  <c r="H26" i="2"/>
  <c r="H14" i="2"/>
  <c r="H13" i="2"/>
</calcChain>
</file>

<file path=xl/comments1.xml><?xml version="1.0" encoding="utf-8"?>
<comments xmlns="http://schemas.openxmlformats.org/spreadsheetml/2006/main">
  <authors>
    <author>Alan Gama</author>
  </authors>
  <commentList>
    <comment ref="B68" authorId="0" shapeId="0">
      <text>
        <r>
          <rPr>
            <b/>
            <sz val="9"/>
            <color indexed="81"/>
            <rFont val="Tahoma"/>
            <family val="2"/>
          </rPr>
          <t>Alan Gama:</t>
        </r>
        <r>
          <rPr>
            <sz val="9"/>
            <color indexed="81"/>
            <rFont val="Tahoma"/>
            <family val="2"/>
          </rPr>
          <t xml:space="preserve">
ISAI + notaría + avalúo
👉 5–7% del valor del terreno</t>
        </r>
      </text>
    </comment>
    <comment ref="B69" authorId="0" shapeId="0">
      <text>
        <r>
          <rPr>
            <b/>
            <sz val="9"/>
            <color indexed="81"/>
            <rFont val="Tahoma"/>
            <family val="2"/>
          </rPr>
          <t>Alan Gama:</t>
        </r>
        <r>
          <rPr>
            <sz val="9"/>
            <color indexed="81"/>
            <rFont val="Tahoma"/>
            <family val="2"/>
          </rPr>
          <t xml:space="preserve">
Arquitectónico
Estructural
Instalaciones</t>
        </r>
      </text>
    </comment>
    <comment ref="B70" authorId="0" shapeId="0">
      <text>
        <r>
          <rPr>
            <b/>
            <sz val="9"/>
            <color indexed="81"/>
            <rFont val="Tahoma"/>
            <family val="2"/>
          </rPr>
          <t>Alan Gama:</t>
        </r>
        <r>
          <rPr>
            <sz val="9"/>
            <color indexed="81"/>
            <rFont val="Tahoma"/>
            <family val="2"/>
          </rPr>
          <t xml:space="preserve">
Licencia de construcción
Alineamiento y número oficial</t>
        </r>
      </text>
    </comment>
    <comment ref="B72" authorId="0" shapeId="0">
      <text>
        <r>
          <rPr>
            <b/>
            <sz val="9"/>
            <color indexed="81"/>
            <rFont val="Tahoma"/>
            <family val="2"/>
          </rPr>
          <t>Alan Gama:</t>
        </r>
        <r>
          <rPr>
            <sz val="9"/>
            <color indexed="81"/>
            <rFont val="Tahoma"/>
            <family val="2"/>
          </rPr>
          <t xml:space="preserve">
Costo por m² de construcción (interés social):
Bajo: $7,000 / m²
Promedio: $8,500 / m²
Bueno: $10,000 / m²
Ejemplo:
Casa de 80 m² × $8,500</t>
        </r>
      </text>
    </comment>
    <comment ref="B73" authorId="0" shapeId="0">
      <text>
        <r>
          <rPr>
            <b/>
            <sz val="9"/>
            <color indexed="81"/>
            <rFont val="Tahoma"/>
            <family val="2"/>
          </rPr>
          <t>Alan Gama:</t>
        </r>
        <r>
          <rPr>
            <sz val="9"/>
            <color indexed="81"/>
            <rFont val="Tahoma"/>
            <family val="2"/>
          </rPr>
          <t xml:space="preserve">
Normalmente ya va incluida, pero si lo separas:
35–45% del costo de construcción
Ejemplo:
$680,000 × 40% ≈ $272,000</t>
        </r>
      </text>
    </comment>
    <comment ref="B74" authorId="0" shapeId="0">
      <text>
        <r>
          <rPr>
            <b/>
            <sz val="9"/>
            <color indexed="81"/>
            <rFont val="Tahoma"/>
            <family val="2"/>
          </rPr>
          <t>Alan Gama:</t>
        </r>
        <r>
          <rPr>
            <sz val="9"/>
            <color indexed="81"/>
            <rFont val="Tahoma"/>
            <family val="2"/>
          </rPr>
          <t xml:space="preserve">
55–65% del costo de construcción</t>
        </r>
      </text>
    </comment>
    <comment ref="B75" authorId="0" shapeId="0">
      <text>
        <r>
          <rPr>
            <b/>
            <sz val="9"/>
            <color indexed="81"/>
            <rFont val="Tahoma"/>
            <family val="2"/>
          </rPr>
          <t>Alan Gama:</t>
        </r>
        <r>
          <rPr>
            <sz val="9"/>
            <color indexed="81"/>
            <rFont val="Tahoma"/>
            <family val="2"/>
          </rPr>
          <t xml:space="preserve">
Agua
Luz
Drenaje</t>
        </r>
      </text>
    </comment>
    <comment ref="B78" authorId="0" shapeId="0">
      <text>
        <r>
          <rPr>
            <b/>
            <sz val="9"/>
            <color indexed="81"/>
            <rFont val="Tahoma"/>
            <family val="2"/>
          </rPr>
          <t>Alan Gama:</t>
        </r>
        <r>
          <rPr>
            <sz val="9"/>
            <color indexed="81"/>
            <rFont val="Tahoma"/>
            <family val="2"/>
          </rPr>
          <t xml:space="preserve">
Agua, luz básica</t>
        </r>
      </text>
    </comment>
    <comment ref="B79" authorId="0" shapeId="0">
      <text>
        <r>
          <rPr>
            <b/>
            <sz val="9"/>
            <color indexed="81"/>
            <rFont val="Tahoma"/>
            <family val="2"/>
          </rPr>
          <t>Alan Gama:</t>
        </r>
        <r>
          <rPr>
            <sz val="9"/>
            <color indexed="81"/>
            <rFont val="Tahoma"/>
            <family val="2"/>
          </rPr>
          <t xml:space="preserve">
Fotos
Anuncios
Comisión inmobiliaria (si aplica)</t>
        </r>
      </text>
    </comment>
  </commentList>
</comments>
</file>

<file path=xl/comments2.xml><?xml version="1.0" encoding="utf-8"?>
<comments xmlns="http://schemas.openxmlformats.org/spreadsheetml/2006/main">
  <authors>
    <author>Alan Gama</author>
  </authors>
  <commentList>
    <comment ref="F10" authorId="0" shapeId="0">
      <text>
        <r>
          <rPr>
            <b/>
            <sz val="9"/>
            <color indexed="81"/>
            <rFont val="Tahoma"/>
            <charset val="1"/>
          </rPr>
          <t>Alan Gama:</t>
        </r>
        <r>
          <rPr>
            <sz val="9"/>
            <color indexed="81"/>
            <rFont val="Tahoma"/>
            <charset val="1"/>
          </rPr>
          <t xml:space="preserve">
En México, TODOS los presupuestos se basan en APU, que incluyen:
</t>
        </r>
      </text>
    </comment>
    <comment ref="I12" authorId="0" shapeId="0">
      <text>
        <r>
          <rPr>
            <b/>
            <sz val="9"/>
            <color indexed="81"/>
            <rFont val="Tahoma"/>
            <family val="2"/>
          </rPr>
          <t>Alan Gama:</t>
        </r>
        <r>
          <rPr>
            <sz val="9"/>
            <color indexed="81"/>
            <rFont val="Tahoma"/>
            <family val="2"/>
          </rPr>
          <t xml:space="preserve">
Carga completa de Arena
</t>
        </r>
      </text>
    </comment>
    <comment ref="I13" authorId="0" shapeId="0">
      <text>
        <r>
          <rPr>
            <b/>
            <sz val="9"/>
            <color indexed="81"/>
            <rFont val="Tahoma"/>
            <family val="2"/>
          </rPr>
          <t>Alan Gama:</t>
        </r>
        <r>
          <rPr>
            <sz val="9"/>
            <color indexed="81"/>
            <rFont val="Tahoma"/>
            <family val="2"/>
          </rPr>
          <t xml:space="preserve">
carga completa
</t>
        </r>
      </text>
    </comment>
    <comment ref="I14" authorId="0" shapeId="0">
      <text>
        <r>
          <rPr>
            <b/>
            <sz val="9"/>
            <color indexed="81"/>
            <rFont val="Tahoma"/>
            <family val="2"/>
          </rPr>
          <t>Alan Gama:</t>
        </r>
        <r>
          <rPr>
            <sz val="9"/>
            <color indexed="81"/>
            <rFont val="Tahoma"/>
            <family val="2"/>
          </rPr>
          <t xml:space="preserve">
Un tonelada
precio por kg 18.44
</t>
        </r>
      </text>
    </comment>
    <comment ref="I18" authorId="0" shapeId="0">
      <text>
        <r>
          <rPr>
            <b/>
            <sz val="9"/>
            <color indexed="81"/>
            <rFont val="Tahoma"/>
            <family val="2"/>
          </rPr>
          <t>Alan Gama:</t>
        </r>
        <r>
          <rPr>
            <sz val="9"/>
            <color indexed="81"/>
            <rFont val="Tahoma"/>
            <family val="2"/>
          </rPr>
          <t xml:space="preserve">
Carga completa de Arena
</t>
        </r>
      </text>
    </comment>
    <comment ref="I19" authorId="0" shapeId="0">
      <text>
        <r>
          <rPr>
            <b/>
            <sz val="9"/>
            <color indexed="81"/>
            <rFont val="Tahoma"/>
            <family val="2"/>
          </rPr>
          <t>Alan Gama:</t>
        </r>
        <r>
          <rPr>
            <sz val="9"/>
            <color indexed="81"/>
            <rFont val="Tahoma"/>
            <family val="2"/>
          </rPr>
          <t xml:space="preserve">
carga completa
</t>
        </r>
      </text>
    </comment>
    <comment ref="I20" authorId="0" shapeId="0">
      <text>
        <r>
          <rPr>
            <b/>
            <sz val="9"/>
            <color indexed="81"/>
            <rFont val="Tahoma"/>
            <family val="2"/>
          </rPr>
          <t>Alan Gama:</t>
        </r>
        <r>
          <rPr>
            <sz val="9"/>
            <color indexed="81"/>
            <rFont val="Tahoma"/>
            <family val="2"/>
          </rPr>
          <t xml:space="preserve">
Un tonelada
precio por kg 18.44
</t>
        </r>
      </text>
    </comment>
    <comment ref="B23" authorId="0" shapeId="0">
      <text>
        <r>
          <rPr>
            <b/>
            <sz val="9"/>
            <color indexed="81"/>
            <rFont val="Tahoma"/>
            <family val="2"/>
          </rPr>
          <t>Alan Gama:</t>
        </r>
        <r>
          <rPr>
            <sz val="9"/>
            <color indexed="81"/>
            <rFont val="Tahoma"/>
            <family val="2"/>
          </rPr>
          <t xml:space="preserve">
BLOQUES 6"
Son bloques de concreto de 15 cm de espesor
Medida real aproximada:
15 × 20 × 40 cm</t>
        </r>
      </text>
    </comment>
    <comment ref="I23" authorId="0" shapeId="0">
      <text>
        <r>
          <rPr>
            <b/>
            <sz val="9"/>
            <color indexed="81"/>
            <rFont val="Tahoma"/>
            <family val="2"/>
          </rPr>
          <t>Alan Gama:</t>
        </r>
        <r>
          <rPr>
            <sz val="9"/>
            <color indexed="81"/>
            <rFont val="Tahoma"/>
            <family val="2"/>
          </rPr>
          <t xml:space="preserve">
Camión completo block 1296 piezas, block de 2 agujeros.
</t>
        </r>
      </text>
    </comment>
    <comment ref="I24" authorId="0" shapeId="0">
      <text>
        <r>
          <rPr>
            <b/>
            <sz val="9"/>
            <color indexed="81"/>
            <rFont val="Tahoma"/>
            <family val="2"/>
          </rPr>
          <t>Alan Gama:</t>
        </r>
        <r>
          <rPr>
            <sz val="9"/>
            <color indexed="81"/>
            <rFont val="Tahoma"/>
            <family val="2"/>
          </rPr>
          <t xml:space="preserve">
MORTERO CEMENTICIO/ACRÍLICO PARA REVESTIMIENTOS IMPERMEABLES BLANCO DE 16.3 KILOGRAMOS</t>
        </r>
      </text>
    </comment>
    <comment ref="I26" authorId="0" shapeId="0">
      <text>
        <r>
          <rPr>
            <b/>
            <sz val="9"/>
            <color indexed="81"/>
            <rFont val="Tahoma"/>
            <family val="2"/>
          </rPr>
          <t>Alan Gama:</t>
        </r>
        <r>
          <rPr>
            <sz val="9"/>
            <color indexed="81"/>
            <rFont val="Tahoma"/>
            <family val="2"/>
          </rPr>
          <t xml:space="preserve">
Carga completa de Arena
</t>
        </r>
      </text>
    </comment>
    <comment ref="I28" authorId="0" shapeId="0">
      <text>
        <r>
          <rPr>
            <b/>
            <sz val="9"/>
            <color indexed="81"/>
            <rFont val="Tahoma"/>
            <family val="2"/>
          </rPr>
          <t>Alan Gama:</t>
        </r>
        <r>
          <rPr>
            <sz val="9"/>
            <color indexed="81"/>
            <rFont val="Tahoma"/>
            <family val="2"/>
          </rPr>
          <t xml:space="preserve">
Carga completa de Arena
</t>
        </r>
      </text>
    </comment>
    <comment ref="I29" authorId="0" shapeId="0">
      <text>
        <r>
          <rPr>
            <b/>
            <sz val="9"/>
            <color indexed="81"/>
            <rFont val="Tahoma"/>
            <family val="2"/>
          </rPr>
          <t>Alan Gama:</t>
        </r>
        <r>
          <rPr>
            <sz val="9"/>
            <color indexed="81"/>
            <rFont val="Tahoma"/>
            <family val="2"/>
          </rPr>
          <t xml:space="preserve">
carga completa
</t>
        </r>
      </text>
    </comment>
    <comment ref="I30" authorId="0" shapeId="0">
      <text>
        <r>
          <rPr>
            <b/>
            <sz val="9"/>
            <color indexed="81"/>
            <rFont val="Tahoma"/>
            <family val="2"/>
          </rPr>
          <t>Alan Gama:</t>
        </r>
        <r>
          <rPr>
            <sz val="9"/>
            <color indexed="81"/>
            <rFont val="Tahoma"/>
            <family val="2"/>
          </rPr>
          <t xml:space="preserve">
Un tonelada
precio por kg 18.44
</t>
        </r>
      </text>
    </comment>
  </commentList>
</comments>
</file>

<file path=xl/sharedStrings.xml><?xml version="1.0" encoding="utf-8"?>
<sst xmlns="http://schemas.openxmlformats.org/spreadsheetml/2006/main" count="729" uniqueCount="531">
  <si>
    <t>MODELO GENERAL – BASE DE DATOS DE TERRENOS Y ANÁLISIS FINANCIERO</t>
  </si>
  <si>
    <t>Descripción del modelo</t>
  </si>
  <si>
    <t>Este archivo concentra en una sola hoja la base de datos de terrenos de aproximadamente 200 m² ubicados en Metepec y municipios cercanos, así como un análisis financiero que contempla ingresos, gastos, costos fijos y costos variables organizados de forma mensual.</t>
  </si>
  <si>
    <t>Criterios del análisis</t>
  </si>
  <si>
    <t>Rango de superficie</t>
  </si>
  <si>
    <t>180 – 220 m²</t>
  </si>
  <si>
    <t>Zona</t>
  </si>
  <si>
    <t>Metepec, Toluca, Lerma, Zinacantepec</t>
  </si>
  <si>
    <t>Tipo de inmueble</t>
  </si>
  <si>
    <t>Terreno</t>
  </si>
  <si>
    <t>Base de datos de terrenos</t>
  </si>
  <si>
    <t>ID</t>
  </si>
  <si>
    <t>Superficie (m²)</t>
  </si>
  <si>
    <t>Precio total</t>
  </si>
  <si>
    <t>Precio por m²</t>
  </si>
  <si>
    <t>Municipio</t>
  </si>
  <si>
    <t>Colonia/Zona</t>
  </si>
  <si>
    <t>Características</t>
  </si>
  <si>
    <t>Uso de suelo</t>
  </si>
  <si>
    <t>URL</t>
  </si>
  <si>
    <t>Análisis financiero mensual</t>
  </si>
  <si>
    <t>Concepto</t>
  </si>
  <si>
    <t>Ingresos</t>
  </si>
  <si>
    <t>Costos fijos</t>
  </si>
  <si>
    <t>Costos variables</t>
  </si>
  <si>
    <t>Gastos operativos</t>
  </si>
  <si>
    <t>Utilidad / Pérdida</t>
  </si>
  <si>
    <t>Enero</t>
  </si>
  <si>
    <t>Febrero</t>
  </si>
  <si>
    <t>Marzo</t>
  </si>
  <si>
    <t>Abril</t>
  </si>
  <si>
    <t>Mayo</t>
  </si>
  <si>
    <t>Junio</t>
  </si>
  <si>
    <t>Agosto</t>
  </si>
  <si>
    <t>Septiembre</t>
  </si>
  <si>
    <t>Octubre</t>
  </si>
  <si>
    <t>Noviembre</t>
  </si>
  <si>
    <t>Diciembre</t>
  </si>
  <si>
    <t xml:space="preserve">Metepec </t>
  </si>
  <si>
    <t xml:space="preserve">habitacional </t>
  </si>
  <si>
    <t xml:space="preserve">coordenadas </t>
  </si>
  <si>
    <t xml:space="preserve">144m2 </t>
  </si>
  <si>
    <t xml:space="preserve">Toluca </t>
  </si>
  <si>
    <t>Santa Cruz Azcapotzaltongo</t>
  </si>
  <si>
    <t>El terreno cuenta con 12 metros de frente y 12 de fondo y una superficie total de 144 metros cuadrados. El terreno es propiedad privada, libre de gravamen. </t>
  </si>
  <si>
    <t>Terreno en Venta, Santa Cruz Azcapozaltongo, Tolucan Jose, Toluca, Edo. de México - Inmuebles24</t>
  </si>
  <si>
    <t>19.314927364618505, -99.65271917695232</t>
  </si>
  <si>
    <t xml:space="preserve">130m2 </t>
  </si>
  <si>
    <t>Boulevard Aeropuerto Toluca, San Nicolás Tolentino</t>
  </si>
  <si>
    <t xml:space="preserve">ideal para construir una vivienda </t>
  </si>
  <si>
    <t>Terreno en Boulevard Aeropuerto Toluca, Edo. de México - Inmuebles24</t>
  </si>
  <si>
    <t>19.34554736670146, -99.58499413207812</t>
  </si>
  <si>
    <t xml:space="preserve">146m2 </t>
  </si>
  <si>
    <t>2d. Privada de A. Almazan, 8 Cedros, Toluca., Ocho Cedros, Toluca</t>
  </si>
  <si>
    <t>Terreno en venta ideal por su tamaño para construir tu casa, en zona tranquila, lejos del ruido, pero muy cerca de tiendas, escuelas y centros comerciales.
Situacion legal: Escriturado y pagos al corriente
Forma de pago: Se aceptan créditos.</t>
  </si>
  <si>
    <t>Terreno en Venta en 8 Cedros, Toluca, Edo. de México - Inmuebles24</t>
  </si>
  <si>
    <t>19.263154741169377, -99.66871689203886</t>
  </si>
  <si>
    <t>150m2</t>
  </si>
  <si>
    <t>19.227602647963817, -99.5639548464693</t>
  </si>
  <si>
    <t>Agrícola Alvaro Obregón, Metepec</t>
  </si>
  <si>
    <t>lotes de 150 m² cuentan con instalaciones a pie de lote (agua, luz y drenaje), una calle central de 6 metros, un área verde de 130 m² para tu disfrute, malla perimetral, fachada distintiva y zaguán, además de estacionamiento para visitas. </t>
  </si>
  <si>
    <t>Terreno a Unos Minutos del Parque Bicentenario de Metepec y Condado del Valle, Edo. de México - Inmuebles24</t>
  </si>
  <si>
    <t>San Jose Barbabosa</t>
  </si>
  <si>
    <t>cuenta con los servicios básicos: agua, drenaje y luz.</t>
  </si>
  <si>
    <t>Terreno en Venta Muy Cerca de La Hacienda Barbabosa, Edo. de México - Inmuebles24</t>
  </si>
  <si>
    <t>19.280139863311838, -99.7145946055316</t>
  </si>
  <si>
    <t>200m2</t>
  </si>
  <si>
    <t xml:space="preserve">Capultitlan </t>
  </si>
  <si>
    <t xml:space="preserve">facilidades de pago </t>
  </si>
  <si>
    <t>Terreno en Capultitlan Priv. Luis D. Colosio, Edo. de México - Inmuebles24</t>
  </si>
  <si>
    <t>19.24457676751816, -99.66932641783026</t>
  </si>
  <si>
    <t>San Antonio Buenavista</t>
  </si>
  <si>
    <t xml:space="preserve">Factibilidad de servicios de agua, luz, drenaje a pie de lote. Financiamiento propio: 3 y 6 meses sin intereses con anticipo mayor al 50%. Cuenta con nosotros para construir tu proyecto habitacional </t>
  </si>
  <si>
    <t>Preventa Lotes 200 m² | Reserva Buenavista Toluca, Edo. de México - Inmuebles24</t>
  </si>
  <si>
    <t>19.261653163534866, -99.71808949137095</t>
  </si>
  <si>
    <t xml:space="preserve">200m2 </t>
  </si>
  <si>
    <t>San Miguel Totocuitlapilco</t>
  </si>
  <si>
    <t xml:space="preserve">tiene servicios de luz, agua y drenaje </t>
  </si>
  <si>
    <t>Terreno En Venta En San Miguel Totocuitlapilco, Metepec, México | MercadoLibre</t>
  </si>
  <si>
    <t>19.23607649823176, -99.57624775155995</t>
  </si>
  <si>
    <t>240m2</t>
  </si>
  <si>
    <t xml:space="preserve">Comisión federal de electricidad </t>
  </si>
  <si>
    <t> Excelente ubicación (atras de Chevy San Carlos) y facil acceso por paseo de la Luz.</t>
  </si>
  <si>
    <t>Venta de Terreno en Toluca, Terreno Ubicado en Colonia Federal de Electricidad, Edo. de México - Inmuebles24</t>
  </si>
  <si>
    <t>19.27628927968969, -99.63362073229881</t>
  </si>
  <si>
    <t>201m2</t>
  </si>
  <si>
    <t>Álamo 535, Llano Grande, Metepec</t>
  </si>
  <si>
    <t> cuenta con todos los servicios básicos a pie de calle, como agua corriente, luz y seguridad privada, garantizando así la comodidad y tranquilidad de sus futuros propietarios.</t>
  </si>
  <si>
    <t>Terreno Residencial en Venta de 201 m² en Privada Sky Tolouse en Llano Grande, Metepec, Edo. Méx. Edo. de México - Inmuebles24</t>
  </si>
  <si>
    <t>19.24362675198825, -99.57192262087509</t>
  </si>
  <si>
    <t>19.319417866383887, -99.65094752258094</t>
  </si>
  <si>
    <t>Santiago Miltepec, Toluca</t>
  </si>
  <si>
    <t>Ya hay casas construídas a su alrededor, zona ya habitable, su forma rectangular hace que se aproveche en su totalidad este predio si lo que deseas es iniciar con tu proyecto de vida, ven y conocelo.</t>
  </si>
  <si>
    <t>Terreno en Venta en Toluca, Edo. de México - Inmuebles24</t>
  </si>
  <si>
    <t>19.36779441511499, -99.59501491311029</t>
  </si>
  <si>
    <t>136m2</t>
  </si>
  <si>
    <t> San Diego de los Padres CuexcontitlAn, Toluca</t>
  </si>
  <si>
    <t> Cuenta con servicios de luz, agua y alumbrado</t>
  </si>
  <si>
    <t>Terreno en Venta en San Diego de Los Padres Cuexcontitlan, Edo. de México - Inmuebles24</t>
  </si>
  <si>
    <t>19.250933979013812, -99.5687664071144</t>
  </si>
  <si>
    <t>Mariano Arista, Llano Grande</t>
  </si>
  <si>
    <t> Usos generales: Habitacional, comercio y servicios.</t>
  </si>
  <si>
    <t>habitacional/comercial</t>
  </si>
  <si>
    <t>Lotes de Terreno en Venta Atras de Portofino, Edo. de México - Inmuebles24</t>
  </si>
  <si>
    <t>19.3304663757237, -99.70307727636595</t>
  </si>
  <si>
    <t>180m2</t>
  </si>
  <si>
    <t>Calixtlahuaca, Toluca</t>
  </si>
  <si>
    <t>Ubicación privilegiada cerca de áreas naturales y servicios. Ideal para construir tu hogar o invertir en un proyecto inmobiliario.</t>
  </si>
  <si>
    <t>Terreno - Calixtlahuaca, Edo. de México - Inmuebles24</t>
  </si>
  <si>
    <t>compra del terreno</t>
  </si>
  <si>
    <t xml:space="preserve">escrituración y legales </t>
  </si>
  <si>
    <t xml:space="preserve">planos y proyectos </t>
  </si>
  <si>
    <t xml:space="preserve">permisos </t>
  </si>
  <si>
    <t xml:space="preserve">construcción </t>
  </si>
  <si>
    <t>mano de obra</t>
  </si>
  <si>
    <t xml:space="preserve">materiales </t>
  </si>
  <si>
    <t xml:space="preserve">contratos de servicios </t>
  </si>
  <si>
    <t>predial</t>
  </si>
  <si>
    <t xml:space="preserve">servicios mínimos </t>
  </si>
  <si>
    <t xml:space="preserve">comercialización </t>
  </si>
  <si>
    <t>venta de la casa terminada</t>
  </si>
  <si>
    <t xml:space="preserve">renta mensual </t>
  </si>
  <si>
    <t xml:space="preserve">Datos </t>
  </si>
  <si>
    <t>aproximación</t>
  </si>
  <si>
    <t xml:space="preserve">aproximación </t>
  </si>
  <si>
    <t>Categoría</t>
  </si>
  <si>
    <t>Material</t>
  </si>
  <si>
    <t>Unidad</t>
  </si>
  <si>
    <t>Cantidad por m²</t>
  </si>
  <si>
    <t>Precio unitario</t>
  </si>
  <si>
    <t>Costo $/m²</t>
  </si>
  <si>
    <t>Fuente (ref)</t>
  </si>
  <si>
    <t>MATERIALES – CANTIDAD POR m² (captura manual)</t>
  </si>
  <si>
    <t>Instrucciones</t>
  </si>
  <si>
    <t xml:space="preserve">Cemento </t>
  </si>
  <si>
    <t xml:space="preserve">Cimentación </t>
  </si>
  <si>
    <t xml:space="preserve">Arena </t>
  </si>
  <si>
    <t xml:space="preserve">Grava </t>
  </si>
  <si>
    <t>Varilla 3/8</t>
  </si>
  <si>
    <t xml:space="preserve">Alambre recocido </t>
  </si>
  <si>
    <t>Madera cimbra</t>
  </si>
  <si>
    <t>m3</t>
  </si>
  <si>
    <t>kg</t>
  </si>
  <si>
    <t>Cantidad real por m2</t>
  </si>
  <si>
    <t>Precio con IVA</t>
  </si>
  <si>
    <t>IVA</t>
  </si>
  <si>
    <t>unidad</t>
  </si>
  <si>
    <t>Costo Home Depot</t>
  </si>
  <si>
    <t>CEMENTO EXTRA GRIS CEMEX 25 KG | The Home Depot México</t>
  </si>
  <si>
    <t>CARGA COMPLETA DE ARENA 6M3 | The Home Depot México</t>
  </si>
  <si>
    <t>CARGA COMPLETA DE GRAVA 6M3 | The Home Depot México</t>
  </si>
  <si>
    <t>VARILLA CORRUGADA RECTA R-42 3/8'' 12 METROS 1 TONELADA | The Home Depot México</t>
  </si>
  <si>
    <t>ALAMBRE DE ACERO RECOCIDO CAL. 16 DE 1.59 MM Ó 0.062 PULGADAS VENTA POR KILO | The Home Depot México</t>
  </si>
  <si>
    <t>TABLA DE PINO PARA CIMBRA 1 X 6 X 8 | The Home Depot México</t>
  </si>
  <si>
    <t xml:space="preserve">estructura </t>
  </si>
  <si>
    <t>Varilla 1/4</t>
  </si>
  <si>
    <t xml:space="preserve"> kilos/bulto</t>
  </si>
  <si>
    <t>Kilo/bulto</t>
  </si>
  <si>
    <t>VARILLA CORRUGADA RECTA GRADO 6000 1/4\" 1 TONELADA | The Home Depot México</t>
  </si>
  <si>
    <t xml:space="preserve">Mampostería </t>
  </si>
  <si>
    <t>block 15x20x40</t>
  </si>
  <si>
    <t>mortero</t>
  </si>
  <si>
    <t xml:space="preserve">pieza </t>
  </si>
  <si>
    <t>bulto</t>
  </si>
  <si>
    <t>CARGA BLOCK 1200PZ 15X20X40 2H | The Home Depot México</t>
  </si>
  <si>
    <t>MORTERO CEMENTICIO/ACRÍLICO PARA REVESTIMIENTOS IMPERMEABLES BLANCO DE 16.3 KILOGRAMOS | The Home Depot México</t>
  </si>
  <si>
    <t>Losa</t>
  </si>
  <si>
    <t>Forma de cobro</t>
  </si>
  <si>
    <t>Tipo de trabajador</t>
  </si>
  <si>
    <t>Costo aproximado</t>
  </si>
  <si>
    <t>Notas</t>
  </si>
  <si>
    <t>Jornal</t>
  </si>
  <si>
    <t>Oficial albañil</t>
  </si>
  <si>
    <t>$500 – $700</t>
  </si>
  <si>
    <t>por día</t>
  </si>
  <si>
    <t>Jornada ~8 h</t>
  </si>
  <si>
    <t>Ayudante</t>
  </si>
  <si>
    <t>$350 – $450</t>
  </si>
  <si>
    <t>Apoyo general</t>
  </si>
  <si>
    <t>Por hora</t>
  </si>
  <si>
    <t>Albañil</t>
  </si>
  <si>
    <t>$70 – $100</t>
  </si>
  <si>
    <t>por hora</t>
  </si>
  <si>
    <t>Poco usada</t>
  </si>
  <si>
    <t>$50 – $65</t>
  </si>
  <si>
    <t>—</t>
  </si>
  <si>
    <t>Destajo</t>
  </si>
  <si>
    <t>Colocación de block (4” y 6”)</t>
  </si>
  <si>
    <t>$35 – $60</t>
  </si>
  <si>
    <t>por m²</t>
  </si>
  <si>
    <t>Solo mano de obra</t>
  </si>
  <si>
    <t>Aplanado</t>
  </si>
  <si>
    <t>$70 – $120</t>
  </si>
  <si>
    <t>Interior / exterior</t>
  </si>
  <si>
    <t>Castillo o dala</t>
  </si>
  <si>
    <t>$120 – $200</t>
  </si>
  <si>
    <t>por ml</t>
  </si>
  <si>
    <t>Depende sección</t>
  </si>
  <si>
    <t>Colado de losa</t>
  </si>
  <si>
    <t>$180 – $250</t>
  </si>
  <si>
    <t>Mano de obra</t>
  </si>
  <si>
    <t>Riesgo</t>
  </si>
  <si>
    <t>Cómo se cuantifica</t>
  </si>
  <si>
    <t>Costos</t>
  </si>
  <si>
    <t>% extra sobre materiales (5–15%)</t>
  </si>
  <si>
    <t>Bajo rendimiento</t>
  </si>
  <si>
    <t>Jornales extra no planeados</t>
  </si>
  <si>
    <t>Días perdidos × costo diario</t>
  </si>
  <si>
    <t>Tiempo</t>
  </si>
  <si>
    <t>Días de atraso × gasto fijo diario</t>
  </si>
  <si>
    <t>Material no llega a tiempo</t>
  </si>
  <si>
    <t>Tiempo muerto de cuadrilla</t>
  </si>
  <si>
    <t>Técnico</t>
  </si>
  <si>
    <t>Errores de ejecución</t>
  </si>
  <si>
    <t>Legal</t>
  </si>
  <si>
    <t>Multa directa</t>
  </si>
  <si>
    <t>Seguridad</t>
  </si>
  <si>
    <t>Lesiones en obra</t>
  </si>
  <si>
    <t>Atención médica + paro</t>
  </si>
  <si>
    <t>Valor del material robado</t>
  </si>
  <si>
    <t>Financiero</t>
  </si>
  <si>
    <t>Falta de liquidez</t>
  </si>
  <si>
    <t>Mercado</t>
  </si>
  <si>
    <t>Meses extra × costos fijos</t>
  </si>
  <si>
    <t>Descripción breve</t>
  </si>
  <si>
    <t>Aumento de precios</t>
  </si>
  <si>
    <t>Medio</t>
  </si>
  <si>
    <t>Mala estimación</t>
  </si>
  <si>
    <t>Avance menor al previsto</t>
  </si>
  <si>
    <t>Bajo</t>
  </si>
  <si>
    <t>Clima</t>
  </si>
  <si>
    <t>Lluvias detienen trabajos</t>
  </si>
  <si>
    <t>Suministros</t>
  </si>
  <si>
    <t>Rehacer trabajos</t>
  </si>
  <si>
    <t>Alto</t>
  </si>
  <si>
    <t>Fallas menores</t>
  </si>
  <si>
    <t>Accidentes</t>
  </si>
  <si>
    <t>Robo</t>
  </si>
  <si>
    <t>Pérdida de material</t>
  </si>
  <si>
    <t>Venta lenta</t>
  </si>
  <si>
    <t>Nivel</t>
  </si>
  <si>
    <t>Suben materiales</t>
  </si>
  <si>
    <t>Cantidades mal calculadas</t>
  </si>
  <si>
    <t>Diferencia real vs estimado (m³/kg/pzas)</t>
  </si>
  <si>
    <t>Ausentismo/rotación</t>
  </si>
  <si>
    <t>Faltas/cambios de cuadrilla</t>
  </si>
  <si>
    <t>Demolición + rehacer</t>
  </si>
  <si>
    <t>Refuerzos/correcciones</t>
  </si>
  <si>
    <t>Correcciones + refuerzo</t>
  </si>
  <si>
    <t>Permisos/multas</t>
  </si>
  <si>
    <t>Falta licencia/inspección</t>
  </si>
  <si>
    <t>Paro por falta de flujo</t>
  </si>
  <si>
    <t>Días detenidos × costo fijo</t>
  </si>
  <si>
    <t>Tarda en venderse</t>
  </si>
  <si>
    <t xml:space="preserve">RIESGOS – FACTOR DE CONTINGENCIA </t>
  </si>
  <si>
    <t>Tecnología</t>
  </si>
  <si>
    <t>Qué hace</t>
  </si>
  <si>
    <t>Cómo se aplica en proyecto pequeño</t>
  </si>
  <si>
    <t>Beneficio principal</t>
  </si>
  <si>
    <t>Gestión</t>
  </si>
  <si>
    <t>Software de control de obra</t>
  </si>
  <si>
    <t>Controla avances, costos y tiempos</t>
  </si>
  <si>
    <t>Registro semanal de avances y gastos</t>
  </si>
  <si>
    <t>Menos desorden y sobrecostos</t>
  </si>
  <si>
    <t>Presupuestación digital</t>
  </si>
  <si>
    <t>Calcula costos y m² automáticamente</t>
  </si>
  <si>
    <t>Excel avanzado / plataformas tipo Presto</t>
  </si>
  <si>
    <t>Mejor control de costos</t>
  </si>
  <si>
    <t>Planeación</t>
  </si>
  <si>
    <t>BIM básico (3D)</t>
  </si>
  <si>
    <t>Modelo digital del proyecto</t>
  </si>
  <si>
    <t>Uso simple para revisar medidas y errores</t>
  </si>
  <si>
    <t>Menos errores técnicos</t>
  </si>
  <si>
    <t>Compras</t>
  </si>
  <si>
    <t>Comparadores de materiales</t>
  </si>
  <si>
    <t>Cotiza precios en tiempo real</t>
  </si>
  <si>
    <t>Comparar ferreterías y proveedores</t>
  </si>
  <si>
    <t>Ahorro en materiales</t>
  </si>
  <si>
    <t>Planeación digital</t>
  </si>
  <si>
    <t>Calendario de obra</t>
  </si>
  <si>
    <t>Cronograma simple por etapas</t>
  </si>
  <si>
    <t>Menos retrasos</t>
  </si>
  <si>
    <t>Supervisión</t>
  </si>
  <si>
    <t>Fotos y reportes digitales</t>
  </si>
  <si>
    <t>Evidencia de avances</t>
  </si>
  <si>
    <t>Fotos semanales desde celular</t>
  </si>
  <si>
    <t>Control remoto</t>
  </si>
  <si>
    <t>Checklist digital</t>
  </si>
  <si>
    <t>Control de seguridad básica</t>
  </si>
  <si>
    <t>Listas simples de revisión</t>
  </si>
  <si>
    <t>Menos accidentes</t>
  </si>
  <si>
    <t>Documentación</t>
  </si>
  <si>
    <t>Almacenamiento en la nube</t>
  </si>
  <si>
    <t>Guarda planos y contratos</t>
  </si>
  <si>
    <t>Drive / OneDrive</t>
  </si>
  <si>
    <t>Orden y respaldo</t>
  </si>
  <si>
    <t>TECNOLOGÍA (CONTECH)</t>
  </si>
  <si>
    <t>dentificar tecnologías desarrolladas por startups del sector construcción (ConTech) y evaluar cómo aplicarlas de forma realista en un proyecto pequeño para reducir costos, tiempos y riesgos.</t>
  </si>
  <si>
    <t>Define el consumo por m² (cemento, varilla, arena, grava, block, etc.). Luego captura precios en PRECIOS.</t>
  </si>
  <si>
    <t>Acumulado</t>
  </si>
  <si>
    <t>Flujo</t>
  </si>
  <si>
    <t>Periodo (mes)</t>
  </si>
  <si>
    <t>Recuperación (mes)</t>
  </si>
  <si>
    <t>FLUJOS DE EFECTIVO (mensual)</t>
  </si>
  <si>
    <t>TIR (IRR)</t>
  </si>
  <si>
    <t>VPN (NPV)</t>
  </si>
  <si>
    <t>Horizonte (años, opcional)</t>
  </si>
  <si>
    <t>MÉTRICAS AVANZADAS</t>
  </si>
  <si>
    <t>Valor futuro estimado (opcional)</t>
  </si>
  <si>
    <t>Valor actual (opcional, para plusvalía)</t>
  </si>
  <si>
    <t>Precio venta por m²</t>
  </si>
  <si>
    <t>Metros cuadrados construidos</t>
  </si>
  <si>
    <t>Costo por m²</t>
  </si>
  <si>
    <t>Tasa de descuento anual</t>
  </si>
  <si>
    <t>ROI</t>
  </si>
  <si>
    <t>Duración del proyecto (meses)</t>
  </si>
  <si>
    <t>Plusvalía anual</t>
  </si>
  <si>
    <t>Margen de utilidad</t>
  </si>
  <si>
    <t>Precio de venta estimado</t>
  </si>
  <si>
    <t>Plusvalía total</t>
  </si>
  <si>
    <t>Utilidad bruta</t>
  </si>
  <si>
    <t>Inversión total del proyecto</t>
  </si>
  <si>
    <t>PLUSVALÍA (opcional)</t>
  </si>
  <si>
    <t>RESULTADOS (automático)</t>
  </si>
  <si>
    <t>ENTRADAS (captura manual)</t>
  </si>
  <si>
    <t>MÉTRICAS FINANCIERAS DEL PROYECTO (Construcción)</t>
  </si>
  <si>
    <t>INDICADORES DE MERCADO – Sociedad Hipotecaria Federal (SHF)</t>
  </si>
  <si>
    <t>Indicador</t>
  </si>
  <si>
    <t>Definición breve</t>
  </si>
  <si>
    <t>Valor referencia</t>
  </si>
  <si>
    <t>Impacto en el proyecto</t>
  </si>
  <si>
    <t>Variación nacional de precios</t>
  </si>
  <si>
    <t>Crecimiento anual promedio del valor de vivienda en México</t>
  </si>
  <si>
    <t>8–9 % anual</t>
  </si>
  <si>
    <t>Referencia macro del mercado</t>
  </si>
  <si>
    <t>Variación regional (Valle de México)</t>
  </si>
  <si>
    <t>Incremento anual estimado para zona Toluca/Metepec</t>
  </si>
  <si>
    <t>≈ 5 % anual</t>
  </si>
  <si>
    <t>Base realista para plusvalía local</t>
  </si>
  <si>
    <t>Índice SHF de Precios</t>
  </si>
  <si>
    <t>Indicador oficial que mide apreciación inmobiliaria</t>
  </si>
  <si>
    <t>Publicación trimestral</t>
  </si>
  <si>
    <t>Sustento técnico del análisis financiero</t>
  </si>
  <si>
    <t>Plusvalía conservadora</t>
  </si>
  <si>
    <t>Escenario prudente de crecimiento anual</t>
  </si>
  <si>
    <t>3–6 % anual</t>
  </si>
  <si>
    <t>Proyección financiera segura</t>
  </si>
  <si>
    <t>Plusvalía optimista</t>
  </si>
  <si>
    <t>Escenario favorable de mercado</t>
  </si>
  <si>
    <t>&gt; 8 % anual</t>
  </si>
  <si>
    <t>Mejora VPN y TIR</t>
  </si>
  <si>
    <t>Precio promedio por m² regional</t>
  </si>
  <si>
    <t>Valor promedio de venta en la zona</t>
  </si>
  <si>
    <t>Capturar dato local</t>
  </si>
  <si>
    <t>Define precio de salida</t>
  </si>
  <si>
    <t>Tiempo promedio de absorción</t>
  </si>
  <si>
    <t>Tiempo estimado para vender el inmueble</t>
  </si>
  <si>
    <t>3–6 meses</t>
  </si>
  <si>
    <t>Impacta flujo y recuperación</t>
  </si>
  <si>
    <t>Inflación inmobiliaria</t>
  </si>
  <si>
    <t>Ajuste anual por inflación del sector</t>
  </si>
  <si>
    <t>4–6 %</t>
  </si>
  <si>
    <t>Ajusta costos y proyecciones</t>
  </si>
  <si>
    <t>Variable</t>
  </si>
  <si>
    <t>Toluca (Estimado 2026)</t>
  </si>
  <si>
    <t>Metepec (Estimado 2026)</t>
  </si>
  <si>
    <t>Impacto en proyecto</t>
  </si>
  <si>
    <t>Precio promedio vivienda media</t>
  </si>
  <si>
    <t>$1,300,000 – $1,600,000</t>
  </si>
  <si>
    <t>$1,500,000 – $2,200,000</t>
  </si>
  <si>
    <t>Define competencia</t>
  </si>
  <si>
    <t>Precio promedio m² venta</t>
  </si>
  <si>
    <t>$9,000 – $12,000</t>
  </si>
  <si>
    <t>$11,000 – $15,000</t>
  </si>
  <si>
    <t>Define techo de precio</t>
  </si>
  <si>
    <t>Crédito dominante</t>
  </si>
  <si>
    <t>Infonavit / Cofinavit</t>
  </si>
  <si>
    <t>Cofinavit / Banco</t>
  </si>
  <si>
    <t>Define perfil comprador</t>
  </si>
  <si>
    <t>Tiempo absorción</t>
  </si>
  <si>
    <t>4 – 6 meses</t>
  </si>
  <si>
    <t>5 – 8 meses</t>
  </si>
  <si>
    <t>Impacta flujo</t>
  </si>
  <si>
    <t>Perfil comprador</t>
  </si>
  <si>
    <t>Trabajador formal</t>
  </si>
  <si>
    <t>Pareja ingresos medios-altos</t>
  </si>
  <si>
    <t>Define tamaño casa</t>
  </si>
  <si>
    <t>Resultado estimado</t>
  </si>
  <si>
    <t>Precio objetivo</t>
  </si>
  <si>
    <t>Compatible con Infonavit tradicional</t>
  </si>
  <si>
    <t>Parcial</t>
  </si>
  <si>
    <t>Compatible con Cofinavit</t>
  </si>
  <si>
    <t>Sí</t>
  </si>
  <si>
    <t>Mercado potencial</t>
  </si>
  <si>
    <t>Medio-alto</t>
  </si>
  <si>
    <t>Riesgo financiero</t>
  </si>
  <si>
    <t>COMPATIBILIDAD CON CRÉDITO</t>
  </si>
  <si>
    <t xml:space="preserve">Casa </t>
  </si>
  <si>
    <t>67m2</t>
  </si>
  <si>
    <t>Propiedad</t>
  </si>
  <si>
    <t>Casa de dos niveles: la planta alta cuenta con dos recámaras amplias y un baño completo; la planta baja integra sala, comedor espacioso, cocina integral, un amplio patio de servicio y estacionamiento para un auto.</t>
  </si>
  <si>
    <t>Fermín Rivera, Balcones Santín</t>
  </si>
  <si>
    <t>Venta Casa Toluca. Inversion Segura, Edo. de México - Inmuebles24</t>
  </si>
  <si>
    <t>80m2</t>
  </si>
  <si>
    <t>Los Sauces</t>
  </si>
  <si>
    <r>
      <t xml:space="preserve">Casa de 80 m² con 2 recámaras, baño compartido, sala, comedor independiente, cocina con tarja, patio amplio y un estacionamiento. Cuenta con todos los servicios, excelente ubicación comercial y acepta todos los créditos (Infonavit, Fovissste, Bancario). </t>
    </r>
    <r>
      <rPr>
        <i/>
        <sz val="8"/>
        <color theme="1"/>
        <rFont val="Arial"/>
        <family val="2"/>
      </rPr>
      <t>Precio sujeto a cambios; no incluye escrituración.</t>
    </r>
  </si>
  <si>
    <t>Casa en Venta en Los Sauces 26 - 1494. Edo. de México - Inmuebles24</t>
  </si>
  <si>
    <t>42m2</t>
  </si>
  <si>
    <t>Galaxias de San Lorenzo</t>
  </si>
  <si>
    <t>esta propiedad se encuentra liquidada libre de gravamen, es una casa de dos plantas de una recamara con crecimiento a futuro, cuenta con loseta, protecciones, patio de servicio con piso y bardeado, se entrega con todos los servicios funcionando y en excelentes condiciones, aplican créditos Infonavit.</t>
  </si>
  <si>
    <t>Casa con Crédito Infonavit, Dos Plantas y Una Recamara, Edo. de México - Inmuebles24</t>
  </si>
  <si>
    <t>Lerma</t>
  </si>
  <si>
    <t>Cuenta con dos recámaras amplias, un baño completo, sala de TV, estancia amplia, medio baño de visitas cocina integral, área de lavado, patio trasero y dos estacionamientos.</t>
  </si>
  <si>
    <t>Venta Casa en Temoaya Cerca de Metepec, Edo. de México - Inmuebles24</t>
  </si>
  <si>
    <t>62m2</t>
  </si>
  <si>
    <t>Felipe Mendoza 0, Santa María Totoltepec, Toluca</t>
  </si>
  <si>
    <t>Casa con 2 recámaras iluminadas, 1.5 baños, sala-comedor, cocina para equipar, patio de servicio y un estacionamiento. Destaca por su salida rápida a CDMX, Toluca y Metepec, con servicios y transporte cercanos. Acepta créditos Infonavit, bancarios y recursos propios.</t>
  </si>
  <si>
    <t>CIRCUITO AZALEA, LOS SAUCES, Los Sauces</t>
  </si>
  <si>
    <t>Casa en Venta Los Sauces V, en Privada, Toluca, Aeropuerto, Federacion de Futbol, Cantabria, Edo. de México - Inmuebles24</t>
  </si>
  <si>
    <t>126m2</t>
  </si>
  <si>
    <t>Nicolás Bravo, San Mateo OxtotitlAn</t>
  </si>
  <si>
    <t>Casa de dos niveles con 2 recámaras (con closet), baño completo, sala, comedor, cocina, jardín, área de lavado y garaje para un auto. La propiedad está recién impermeabilizada, cuenta con tinaco, gas LP y un mantenimiento económico de $300 semestrales.</t>
  </si>
  <si>
    <t>Casa de 127 m² de construcción sobre un terreno de 124 m², distribuida en dos niveles con 2 recámaras y 2 baños completos. Incluye sala, comedor, calentador solar, 3 tinacos y ubicación con transporte cercano y salida rápida a Paseo Matlazincas.</t>
  </si>
  <si>
    <t>Casa en Venta Toluca San Mateo Oxtotitlán, Edo. de México - Inmuebles24</t>
  </si>
  <si>
    <t>Casa en Venta en Santa María Totoltepec, Edo. de México - Inmuebles24</t>
  </si>
  <si>
    <t>122m2</t>
  </si>
  <si>
    <t>San Andrés CuexcontitlAn</t>
  </si>
  <si>
    <t>Casa de dos niveles con acabados de calidad, 2 recámaras, 1.5 baños, sala, comedor y cocina integral. Incluye patio de servicio, jardín frontal con adoquín, 2 estacionamientos y cisterna de 3,000 litros. Cuenta con detalles premium como pisos cerámicos y puertas de madera.</t>
  </si>
  <si>
    <t>Casa en Venta, Toluca, Edo. de México - Inmuebles24</t>
  </si>
  <si>
    <t>Venta de terreno en Toluca, lote de terreno ubicado en San Cristobal Huichcochitlan, sduperficie 200 m2 Frente 10 m fondo 20 m. . Es ejido y cuenta con ceción de derechos. Excelente ubicación (en esquina), y facil acceso.</t>
  </si>
  <si>
    <t>Alfonso Garcia Sanchez, San Cristóbal HuichochitlAn, Toluca</t>
  </si>
  <si>
    <t>habitacional</t>
  </si>
  <si>
    <t>Venta de Terreno en Toluca, Ubicado en San Cristobal Huchochitlan, Edo. de México - Inmuebles24</t>
  </si>
  <si>
    <t>19.32654768746583, -99.64348451407034</t>
  </si>
  <si>
    <t>19.295846201328814, -99.68966353171274</t>
  </si>
  <si>
    <t>133m2</t>
  </si>
  <si>
    <t>Colonia San Mateo Oxtotitlán</t>
  </si>
  <si>
    <t>oportunidad única en san mateo oxtotitlán, toluca! ubicación: este terreno se encuentra en toluca, en san mateo oxtotitlán. dimensiones ideales: con una superficie total de 133 m2 y medidas de 8 x 16 metros, este terreno ya tiene un inicio de obra. uso de suelo h333: con la clasificación de uso de suelo h333, este terreno ofrecen una amplia gama de posibilidades para su desarrollo. este terreno es propiedad privada no dejes pasar esta oportunidad de invertir en el futuro de san mateo oxtotitlán.</t>
  </si>
  <si>
    <t>Terreno disponible en venta en , Colonia San Mateo Oxtotitlán, C.P. 50100</t>
  </si>
  <si>
    <t>209m2</t>
  </si>
  <si>
    <t>Cerrada César Camacho Quiroz Y San Angelin, San Lorenzo Tepaltitlan</t>
  </si>
  <si>
    <t>Terreno habitacional de 209.80 m² con escritura y servicios a pie de calle. Ubicación estratégica en Toluca, a solo 3 km de Galerías y cerca del Parque Toluca 2000. Libre de gravamen; solo recursos propios o crédito personal.</t>
  </si>
  <si>
    <t>Terreno En Venta En San Lorenzo Tepaltitlán, Toluca, Estado De México | MercadoLibre</t>
  </si>
  <si>
    <t>19.322506917250298, -99.62023499072183</t>
  </si>
  <si>
    <t>Terreno en San Lorenzo TepaltitlAn Centro | San Lorenzo Tepalt...</t>
  </si>
  <si>
    <t>Puerto de Guaymas, Sn Lorenzo T, San Lorenzo TepaltitlAn Centro</t>
  </si>
  <si>
    <t>Este terreno es una excelente oportunidad de inversión, los servicios están a pie de calle y, aunque las calles aún no están pavimentadas, la urbanización se está desarrollando por su proximidad a la zona industrial de Toluca.</t>
  </si>
  <si>
    <t>habitcional</t>
  </si>
  <si>
    <t>19.313657348663806, -99.61004404051309</t>
  </si>
  <si>
    <t>Requisito / Documento</t>
  </si>
  <si>
    <t>Quién lo entrega</t>
  </si>
  <si>
    <t>Para qué sirve</t>
  </si>
  <si>
    <t>¿Es obligatorio?</t>
  </si>
  <si>
    <t>Escritura o título de propiedad</t>
  </si>
  <si>
    <t>Vendedor</t>
  </si>
  <si>
    <t>Demuestra que el terreno sí es suyo</t>
  </si>
  <si>
    <t>Certificado de libertad de gravamen</t>
  </si>
  <si>
    <t>Notario / Registro público</t>
  </si>
  <si>
    <t>Verifica que el terreno no tenga deudas o hipotecas</t>
  </si>
  <si>
    <t>Boletas de predial pagadas</t>
  </si>
  <si>
    <t>Comprueba que no hay adeudos de impuestos</t>
  </si>
  <si>
    <t>Boletas de agua pagadas</t>
  </si>
  <si>
    <t>Verifica que no haya adeudos de servicios</t>
  </si>
  <si>
    <t>Identificación oficial (INE)</t>
  </si>
  <si>
    <t>Comprador y vendedor</t>
  </si>
  <si>
    <t>Identificación legal</t>
  </si>
  <si>
    <t>CURP y RFC</t>
  </si>
  <si>
    <t>Comprador</t>
  </si>
  <si>
    <t>Datos fiscales</t>
  </si>
  <si>
    <t>Avalúo del terreno</t>
  </si>
  <si>
    <t>Perito valuador</t>
  </si>
  <si>
    <t>Determinar valor real del terreno</t>
  </si>
  <si>
    <t>Contrato de compraventa</t>
  </si>
  <si>
    <t>Documento previo a escritura</t>
  </si>
  <si>
    <t>Plano catastral</t>
  </si>
  <si>
    <t>Catastro</t>
  </si>
  <si>
    <t>Ubicación oficial del terreno</t>
  </si>
  <si>
    <t>A veces</t>
  </si>
  <si>
    <t>Verificar qué se puede construir</t>
  </si>
  <si>
    <t>Muy recomendable</t>
  </si>
  <si>
    <t>Qué es</t>
  </si>
  <si>
    <t>Aproximación del costo</t>
  </si>
  <si>
    <t>Quién lo paga</t>
  </si>
  <si>
    <t>Precio del terreno</t>
  </si>
  <si>
    <t>Valor acordado de compra</t>
  </si>
  <si>
    <t>Impuesto sobre adquisición (ISAI)</t>
  </si>
  <si>
    <t>Impuesto estatal por transferir la propiedad</t>
  </si>
  <si>
    <t>2 % – 5 % del valor</t>
  </si>
  <si>
    <t>Honorarios del notario</t>
  </si>
  <si>
    <t>Elaboración de escritura y validación legal</t>
  </si>
  <si>
    <t>0.5 % – 2 %</t>
  </si>
  <si>
    <t>Derechos de registro</t>
  </si>
  <si>
    <t>Registro en el Registro Público de la Propiedad</t>
  </si>
  <si>
    <t>0.5 % – 1 %</t>
  </si>
  <si>
    <t>Determinar valor oficial</t>
  </si>
  <si>
    <t>$3,000 – $6,000 MXN</t>
  </si>
  <si>
    <t>Certificados y constancias</t>
  </si>
  <si>
    <t>Libertad de gravamen, catastro, etc</t>
  </si>
  <si>
    <t>$1,000 – $3,000 MXN</t>
  </si>
  <si>
    <t>Gastos notariales totales</t>
  </si>
  <si>
    <t>Suma de trámites notariales</t>
  </si>
  <si>
    <t>4 % – 7 % del valor del inmueble</t>
  </si>
  <si>
    <t>Honorarios legales (opcional)</t>
  </si>
  <si>
    <t>Abogado inmobiliario</t>
  </si>
  <si>
    <t>$10,000 – $30,000</t>
  </si>
  <si>
    <t>Comisión inmobiliaria</t>
  </si>
  <si>
    <t>Si hay broker</t>
  </si>
  <si>
    <t>3 % – 5 %</t>
  </si>
  <si>
    <t>Vendedor (normalmente)</t>
  </si>
  <si>
    <t>Predial anual</t>
  </si>
  <si>
    <t>Impuesto anual de propiedad</t>
  </si>
  <si>
    <t>Propietario</t>
  </si>
  <si>
    <t xml:space="preserve">Requisitos </t>
  </si>
  <si>
    <t xml:space="preserve">Gastos </t>
  </si>
  <si>
    <t>Segunda Privada de Mil Cumbres, Santa Cruz Azcapotzaltongo, Toluca</t>
  </si>
  <si>
    <t>Venta de terreno de 200 m² (20x10) en la calle Mil Cumbres, Toluca. Ubicación estratégica a 15 minutos del centro y 5 de Av. Isidro Fabela, en zona urbanizada con servicios. Es propiedad privada, libre de gravamen y lista para construir.</t>
  </si>
  <si>
    <t>TERRENO EN VENTA, SANTA CRUZ AZCAPOTZALTONGO, TOLUCA | Santa C...</t>
  </si>
  <si>
    <t>19.314841118772105, -99.65280206312842</t>
  </si>
  <si>
    <t>300m2</t>
  </si>
  <si>
    <t>Altamirano , San Mateo OxtotitlAn, Toluca</t>
  </si>
  <si>
    <t>Terreno ejidal de 300 m² (15x20) en venta en San Mateo Oxtotitlán, Toluca. Ubicación privilegiada a unos metros del Parque Sierra, ideal para construir casa o departamentos. Excelente oportunidad de inversión para desarrollar proyectos inmobiliarios en una zona con gran potencial natural.</t>
  </si>
  <si>
    <t>https://www.inmuebles24.com/propiedades/clasificado/vecltepa-terreno-en-venta-san-mateo-oxtotitlan-estado-de-148595958.html?n_src=Listado&amp;n_pg=2&amp;n_pos=3</t>
  </si>
  <si>
    <t>19.297249993969107, -99.69535325597882</t>
  </si>
  <si>
    <t>19.258653066369412, -99.65077823282724</t>
  </si>
  <si>
    <t>124m2</t>
  </si>
  <si>
    <t xml:space="preserve">Terrenos EN Venta Dentro DE Privada MUY Cerca DE Heriberto Enriquez Y Ceboruco EN Toluca, CapultitlAn, Toluca
</t>
  </si>
  <si>
    <t>Terreno de 300 m² (15x20) en San Mateo Oxtotitlán, Toluca, junto al Parque Sierra. Ideal para casa o departamentos, cuenta con servicios ocultos (agua, luz, gas, internet) y escritura pública. Compra solo con recursos propios: 30% de enganche y resto hasta 11 mensualidades.</t>
  </si>
  <si>
    <t>https://www.vivanuncios.com.mx/a-venta-terreno/capultitlan/terrenos-en-venta-dentro-de-privada-muy-cerca-de-heriberto-enriquez-y-ceboruco-en-toluca/148875074?n_src=Listado&amp;n_pg=1&amp;n_pos=9</t>
  </si>
  <si>
    <t>19.263565893325776, -99.66890128058468</t>
  </si>
  <si>
    <t>Terreno escriturado y con pagos al corriente en zona tranquila de Toluca. Ubicación estratégica cerca de escuelas y comercios, ideal para proyecto residencial por su tamaño y entorno libre de ruido.</t>
  </si>
  <si>
    <t>https://www.vivanuncios.com.mx/a-venta-terreno/ocho-cedros/terreno-en-venta-en-8-cedros-toluca/148279584?n_src=Listado&amp;n_pg=1&amp;n_pos=11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</si>
</sst>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6" formatCode="&quot;$&quot;#,##0;[Red]\-&quot;$&quot;#,##0"/>
    <numFmt numFmtId="44" formatCode="_-&quot;$&quot;* #,##0.00_-;\-&quot;$&quot;* #,##0.00_-;_-&quot;$&quot;* &quot;-&quot;??_-;_-@_-"/>
    <numFmt numFmtId="164" formatCode="&quot;$&quot;#,##0.00"/>
    <numFmt numFmtId="165" formatCode="&quot;$&quot;#,##0"/>
  </numFmts>
  <fonts count="43" x14ac:knownFonts="1">
    <font>
      <sz val="11"/>
      <color theme="1"/>
      <name val="Arial"/>
      <family val="2"/>
    </font>
    <font>
      <sz val="11"/>
      <color theme="1"/>
      <name val="Arial"/>
      <family val="2"/>
    </font>
    <font>
      <b/>
      <sz val="16"/>
      <name val="Calibri"/>
      <family val="2"/>
    </font>
    <font>
      <b/>
      <sz val="12"/>
      <name val="Calibri"/>
      <family val="2"/>
    </font>
    <font>
      <b/>
      <sz val="11"/>
      <name val="Calibri"/>
      <family val="2"/>
    </font>
    <font>
      <sz val="10"/>
      <color theme="1"/>
      <name val="Arial"/>
      <family val="2"/>
    </font>
    <font>
      <u/>
      <sz val="11"/>
      <color theme="10"/>
      <name val="Arial"/>
      <family val="2"/>
    </font>
    <font>
      <sz val="9"/>
      <color rgb="FF000000"/>
      <name val="Arial"/>
      <family val="2"/>
    </font>
    <font>
      <sz val="11"/>
      <color rgb="FF000000"/>
      <name val="Arial"/>
      <family val="2"/>
    </font>
    <font>
      <sz val="10"/>
      <color rgb="FF000000"/>
      <name val="Arial"/>
      <family val="2"/>
    </font>
    <font>
      <sz val="10"/>
      <color rgb="FF000000"/>
      <name val="Arial"/>
      <family val="2"/>
    </font>
    <font>
      <sz val="9"/>
      <color theme="1"/>
      <name val="Arial"/>
      <family val="2"/>
    </font>
    <font>
      <sz val="11"/>
      <color rgb="FF000000"/>
      <name val="Arial"/>
      <family val="2"/>
    </font>
    <font>
      <sz val="8"/>
      <color rgb="FF000000"/>
      <name val="Arial"/>
      <family val="2"/>
    </font>
    <font>
      <sz val="11"/>
      <name val="Calibri"/>
      <family val="2"/>
    </font>
    <font>
      <sz val="9"/>
      <color indexed="81"/>
      <name val="Tahoma"/>
      <family val="2"/>
    </font>
    <font>
      <b/>
      <sz val="9"/>
      <color indexed="81"/>
      <name val="Tahoma"/>
      <family val="2"/>
    </font>
    <font>
      <b/>
      <sz val="11"/>
      <color theme="0"/>
      <name val="Arial"/>
      <family val="2"/>
    </font>
    <font>
      <b/>
      <sz val="11"/>
      <color theme="1"/>
      <name val="Arial"/>
      <family val="2"/>
    </font>
    <font>
      <b/>
      <sz val="11"/>
      <name val="Calibri"/>
    </font>
    <font>
      <b/>
      <sz val="16"/>
      <name val="Calibri"/>
    </font>
    <font>
      <b/>
      <sz val="12"/>
      <name val="Calibri"/>
    </font>
    <font>
      <sz val="9"/>
      <color indexed="81"/>
      <name val="Tahoma"/>
      <charset val="1"/>
    </font>
    <font>
      <b/>
      <sz val="9"/>
      <color indexed="81"/>
      <name val="Tahoma"/>
      <charset val="1"/>
    </font>
    <font>
      <sz val="11"/>
      <name val="Arial"/>
      <family val="2"/>
    </font>
    <font>
      <sz val="11"/>
      <color theme="1"/>
      <name val="Calibri"/>
      <family val="2"/>
      <scheme val="minor"/>
    </font>
    <font>
      <b/>
      <sz val="11"/>
      <color rgb="FFFFFFFF"/>
      <name val="Calibri"/>
    </font>
    <font>
      <b/>
      <sz val="12"/>
      <color rgb="FFFFFFFF"/>
      <name val="Calibri"/>
    </font>
    <font>
      <b/>
      <sz val="16"/>
      <color rgb="FFFFFFFF"/>
      <name val="Calibri"/>
    </font>
    <font>
      <b/>
      <sz val="14"/>
      <color rgb="FFFFFFFF"/>
      <name val="Calibri"/>
    </font>
    <font>
      <b/>
      <sz val="24"/>
      <color theme="1"/>
      <name val="Arial"/>
      <family val="2"/>
    </font>
    <font>
      <b/>
      <sz val="20"/>
      <color theme="1"/>
      <name val="Arial"/>
      <family val="2"/>
    </font>
    <font>
      <sz val="9"/>
      <color rgb="FF000000"/>
      <name val="Arial"/>
      <family val="2"/>
    </font>
    <font>
      <sz val="8"/>
      <color theme="1"/>
      <name val="Arial"/>
      <family val="2"/>
    </font>
    <font>
      <i/>
      <sz val="8"/>
      <color theme="1"/>
      <name val="Arial"/>
      <family val="2"/>
    </font>
    <font>
      <sz val="9"/>
      <color rgb="FF000000"/>
      <name val="Arial"/>
      <family val="2"/>
    </font>
    <font>
      <sz val="11"/>
      <color rgb="FF000000"/>
      <name val="Arial"/>
      <family val="2"/>
    </font>
    <font>
      <sz val="12"/>
      <color rgb="FF1B1C1D"/>
      <name val="Arial"/>
      <family val="2"/>
    </font>
    <font>
      <sz val="10"/>
      <color rgb="FF433E47"/>
      <name val="Arial"/>
      <family val="2"/>
    </font>
    <font>
      <sz val="11"/>
      <color rgb="FF000000"/>
      <name val="Arial"/>
      <family val="2"/>
    </font>
    <font>
      <sz val="11"/>
      <color rgb="FF000000"/>
      <name val="Arial"/>
      <family val="2"/>
    </font>
    <font>
      <sz val="11"/>
      <color rgb="FF000000"/>
      <name val="Arial"/>
      <family val="2"/>
    </font>
    <font>
      <sz val="12"/>
      <color rgb="FF000000"/>
      <name val="Arial"/>
      <family val="2"/>
    </font>
  </fonts>
  <fills count="8">
    <fill>
      <patternFill patternType="none"/>
    </fill>
    <fill>
      <patternFill patternType="gray125"/>
    </fill>
    <fill>
      <patternFill patternType="solid">
        <fgColor rgb="FFDDDDDD"/>
      </patternFill>
    </fill>
    <fill>
      <patternFill patternType="solid">
        <fgColor rgb="FFCCE5FF"/>
      </patternFill>
    </fill>
    <fill>
      <patternFill patternType="solid">
        <fgColor rgb="FFD9E1F2"/>
      </patternFill>
    </fill>
    <fill>
      <patternFill patternType="solid">
        <fgColor rgb="FF305496"/>
      </patternFill>
    </fill>
    <fill>
      <patternFill patternType="solid">
        <fgColor rgb="FF2F5597"/>
      </patternFill>
    </fill>
    <fill>
      <patternFill patternType="solid">
        <fgColor rgb="FF1F4E79"/>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rgb="FF9E9E9E"/>
      </left>
      <right style="thin">
        <color rgb="FF9E9E9E"/>
      </right>
      <top style="thin">
        <color rgb="FF9E9E9E"/>
      </top>
      <bottom style="thin">
        <color rgb="FF9E9E9E"/>
      </bottom>
      <diagonal/>
    </border>
    <border>
      <left/>
      <right/>
      <top style="thin">
        <color auto="1"/>
      </top>
      <bottom/>
      <diagonal/>
    </border>
  </borders>
  <cellStyleXfs count="4">
    <xf numFmtId="0" fontId="0" fillId="0" borderId="0"/>
    <xf numFmtId="44" fontId="1" fillId="0" borderId="0" applyFont="0" applyFill="0" applyBorder="0" applyAlignment="0" applyProtection="0"/>
    <xf numFmtId="0" fontId="6" fillId="0" borderId="0" applyNumberFormat="0" applyFill="0" applyBorder="0" applyAlignment="0" applyProtection="0"/>
    <xf numFmtId="0" fontId="25" fillId="0" borderId="0"/>
  </cellStyleXfs>
  <cellXfs count="113">
    <xf numFmtId="0" fontId="0" fillId="0" borderId="0" xfId="0"/>
    <xf numFmtId="0" fontId="0" fillId="0" borderId="0" xfId="0"/>
    <xf numFmtId="0" fontId="3" fillId="0" borderId="0" xfId="0" applyFont="1"/>
    <xf numFmtId="0" fontId="4"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0" borderId="0" xfId="0" applyFont="1"/>
    <xf numFmtId="0" fontId="0" fillId="0" borderId="0" xfId="0" applyAlignment="1">
      <alignment vertical="center"/>
    </xf>
    <xf numFmtId="0" fontId="6" fillId="0" borderId="0" xfId="2" applyAlignment="1">
      <alignment wrapText="1"/>
    </xf>
    <xf numFmtId="0" fontId="4" fillId="2" borderId="2" xfId="0" applyFont="1" applyFill="1" applyBorder="1" applyAlignment="1">
      <alignment horizontal="center" vertical="center" wrapText="1"/>
    </xf>
    <xf numFmtId="0" fontId="0" fillId="0" borderId="0" xfId="0" applyAlignment="1">
      <alignment vertical="center" wrapText="1"/>
    </xf>
    <xf numFmtId="44" fontId="4" fillId="2" borderId="1" xfId="1" applyFont="1" applyFill="1" applyBorder="1" applyAlignment="1">
      <alignment horizontal="center" vertical="center" wrapText="1"/>
    </xf>
    <xf numFmtId="0" fontId="7" fillId="0" borderId="0" xfId="0" applyFont="1" applyAlignment="1">
      <alignment vertical="center" wrapText="1"/>
    </xf>
    <xf numFmtId="0" fontId="8" fillId="0" borderId="0" xfId="0" applyFont="1" applyAlignment="1">
      <alignment horizontal="center" vertical="center" wrapText="1"/>
    </xf>
    <xf numFmtId="0" fontId="0" fillId="0" borderId="0" xfId="0" applyAlignment="1">
      <alignment wrapText="1"/>
    </xf>
    <xf numFmtId="0" fontId="6" fillId="0" borderId="0" xfId="2" applyAlignment="1">
      <alignment vertical="center" wrapText="1"/>
    </xf>
    <xf numFmtId="44" fontId="0" fillId="0" borderId="0" xfId="1" applyFont="1" applyAlignment="1">
      <alignment vertical="center" wrapText="1"/>
    </xf>
    <xf numFmtId="0" fontId="9" fillId="0" borderId="0" xfId="0" applyFont="1" applyAlignment="1">
      <alignment horizontal="center" vertical="center" wrapText="1"/>
    </xf>
    <xf numFmtId="0" fontId="10" fillId="0" borderId="0" xfId="0" applyFont="1" applyAlignment="1">
      <alignment vertical="center" wrapText="1"/>
    </xf>
    <xf numFmtId="0" fontId="9" fillId="0" borderId="0" xfId="0" applyFont="1" applyAlignment="1">
      <alignment wrapText="1"/>
    </xf>
    <xf numFmtId="0" fontId="9" fillId="0" borderId="0" xfId="0" applyFont="1" applyAlignment="1">
      <alignment vertical="center" wrapText="1"/>
    </xf>
    <xf numFmtId="0" fontId="5" fillId="0" borderId="0" xfId="0" applyFont="1" applyAlignment="1">
      <alignment vertical="center" wrapText="1"/>
    </xf>
    <xf numFmtId="0" fontId="11" fillId="0" borderId="0" xfId="0" applyFont="1" applyAlignment="1">
      <alignment vertical="center" wrapText="1"/>
    </xf>
    <xf numFmtId="0" fontId="9" fillId="0" borderId="0" xfId="0" applyFont="1" applyAlignment="1">
      <alignment vertical="top" wrapText="1"/>
    </xf>
    <xf numFmtId="0" fontId="6" fillId="0" borderId="0" xfId="2" applyAlignment="1">
      <alignment horizontal="center" wrapText="1"/>
    </xf>
    <xf numFmtId="0" fontId="0" fillId="0" borderId="0" xfId="0" applyFont="1" applyAlignment="1">
      <alignment vertical="center"/>
    </xf>
    <xf numFmtId="0" fontId="0" fillId="0" borderId="0" xfId="0"/>
    <xf numFmtId="0" fontId="12" fillId="0" borderId="0" xfId="0" applyFont="1" applyAlignment="1">
      <alignment vertical="center" wrapText="1"/>
    </xf>
    <xf numFmtId="0" fontId="7" fillId="0" borderId="0" xfId="0" applyFont="1" applyAlignment="1">
      <alignment vertical="top" wrapText="1"/>
    </xf>
    <xf numFmtId="0" fontId="8" fillId="0" borderId="0" xfId="0" applyFont="1" applyAlignment="1">
      <alignment vertical="center" wrapText="1"/>
    </xf>
    <xf numFmtId="0" fontId="14" fillId="0" borderId="0" xfId="0" applyFont="1"/>
    <xf numFmtId="0" fontId="0" fillId="0" borderId="0" xfId="0" applyFont="1" applyAlignment="1">
      <alignment vertical="center" wrapText="1"/>
    </xf>
    <xf numFmtId="44" fontId="1" fillId="0" borderId="0" xfId="1" applyFont="1" applyAlignment="1">
      <alignment vertical="center" wrapText="1"/>
    </xf>
    <xf numFmtId="0" fontId="0" fillId="0" borderId="0" xfId="0" applyFont="1"/>
    <xf numFmtId="0" fontId="4" fillId="0" borderId="1" xfId="0" applyFont="1" applyBorder="1"/>
    <xf numFmtId="44" fontId="0" fillId="0" borderId="1" xfId="1" applyFont="1" applyBorder="1" applyAlignment="1">
      <alignment vertical="center" wrapText="1"/>
    </xf>
    <xf numFmtId="0" fontId="14" fillId="0" borderId="1" xfId="0" applyFont="1" applyBorder="1"/>
    <xf numFmtId="0" fontId="14" fillId="0" borderId="3" xfId="0" applyFont="1" applyBorder="1"/>
    <xf numFmtId="44" fontId="0" fillId="0" borderId="0" xfId="1" applyFont="1" applyAlignment="1">
      <alignment horizontal="center" vertical="center" wrapText="1"/>
    </xf>
    <xf numFmtId="9" fontId="0" fillId="0" borderId="3" xfId="1" applyNumberFormat="1" applyFont="1" applyBorder="1" applyAlignment="1">
      <alignment vertical="center" wrapText="1"/>
    </xf>
    <xf numFmtId="0" fontId="4" fillId="3" borderId="0" xfId="0" applyFont="1" applyFill="1" applyBorder="1" applyAlignment="1">
      <alignment horizontal="center" vertical="center" wrapText="1"/>
    </xf>
    <xf numFmtId="0" fontId="3" fillId="0" borderId="1" xfId="0" applyFont="1" applyBorder="1"/>
    <xf numFmtId="0" fontId="0" fillId="0" borderId="1" xfId="0" applyBorder="1" applyAlignment="1">
      <alignment vertical="center" wrapText="1"/>
    </xf>
    <xf numFmtId="44" fontId="4" fillId="3" borderId="0" xfId="1" applyFont="1" applyFill="1" applyBorder="1" applyAlignment="1">
      <alignment horizontal="center" vertical="center" wrapText="1"/>
    </xf>
    <xf numFmtId="0" fontId="13" fillId="0" borderId="1" xfId="0" applyFont="1" applyBorder="1"/>
    <xf numFmtId="0" fontId="19" fillId="2" borderId="1" xfId="0" applyFont="1" applyFill="1" applyBorder="1" applyAlignment="1">
      <alignment horizontal="center" vertical="center" wrapText="1"/>
    </xf>
    <xf numFmtId="0" fontId="0" fillId="0" borderId="1" xfId="0" applyBorder="1" applyAlignment="1">
      <alignment horizontal="left" vertical="top" wrapText="1"/>
    </xf>
    <xf numFmtId="164" fontId="0" fillId="0" borderId="1" xfId="0" applyNumberFormat="1" applyBorder="1" applyAlignment="1">
      <alignment horizontal="right" vertical="center" wrapText="1"/>
    </xf>
    <xf numFmtId="0" fontId="21" fillId="0" borderId="0" xfId="0" applyFont="1"/>
    <xf numFmtId="0" fontId="0" fillId="0" borderId="0" xfId="0" applyNumberFormat="1"/>
    <xf numFmtId="0" fontId="19" fillId="2" borderId="1" xfId="0" applyNumberFormat="1" applyFont="1" applyFill="1" applyBorder="1" applyAlignment="1">
      <alignment horizontal="center" vertical="center" wrapText="1"/>
    </xf>
    <xf numFmtId="0" fontId="0" fillId="0" borderId="1" xfId="0" applyNumberFormat="1" applyBorder="1" applyAlignment="1">
      <alignment horizontal="left" vertical="top" wrapText="1"/>
    </xf>
    <xf numFmtId="44" fontId="1" fillId="0" borderId="0" xfId="1" applyFont="1" applyAlignment="1">
      <alignment vertical="top" wrapText="1"/>
    </xf>
    <xf numFmtId="0" fontId="18" fillId="0" borderId="1" xfId="0" applyFont="1" applyBorder="1" applyAlignment="1">
      <alignment horizontal="left" vertical="top" wrapText="1"/>
    </xf>
    <xf numFmtId="0" fontId="0" fillId="0" borderId="2" xfId="0" applyNumberFormat="1" applyFill="1" applyBorder="1" applyAlignment="1">
      <alignment horizontal="left" vertical="top" wrapText="1"/>
    </xf>
    <xf numFmtId="0" fontId="18" fillId="0" borderId="0" xfId="0" applyFont="1" applyAlignment="1">
      <alignment horizontal="center" vertical="center" wrapText="1"/>
    </xf>
    <xf numFmtId="0" fontId="24" fillId="0" borderId="0" xfId="0" applyFont="1" applyAlignment="1">
      <alignment vertical="center" wrapText="1"/>
    </xf>
    <xf numFmtId="0" fontId="17" fillId="0" borderId="0" xfId="0" applyFont="1" applyAlignment="1">
      <alignment horizontal="center" vertical="center" wrapText="1"/>
    </xf>
    <xf numFmtId="0" fontId="25" fillId="0" borderId="0" xfId="3"/>
    <xf numFmtId="165" fontId="25" fillId="4" borderId="4" xfId="3" applyNumberFormat="1" applyFill="1" applyBorder="1" applyAlignment="1">
      <alignment horizontal="right" vertical="center"/>
    </xf>
    <xf numFmtId="0" fontId="25" fillId="4" borderId="4" xfId="3" applyFill="1" applyBorder="1" applyAlignment="1">
      <alignment horizontal="center" vertical="center"/>
    </xf>
    <xf numFmtId="165" fontId="25" fillId="0" borderId="4" xfId="3" applyNumberFormat="1" applyBorder="1" applyAlignment="1">
      <alignment horizontal="right" vertical="center"/>
    </xf>
    <xf numFmtId="0" fontId="25" fillId="0" borderId="4" xfId="3" applyBorder="1" applyAlignment="1">
      <alignment horizontal="center" vertical="center"/>
    </xf>
    <xf numFmtId="0" fontId="26" fillId="5" borderId="4" xfId="3" applyFont="1" applyFill="1" applyBorder="1" applyAlignment="1">
      <alignment horizontal="center" vertical="center"/>
    </xf>
    <xf numFmtId="1" fontId="25" fillId="4" borderId="4" xfId="3" applyNumberFormat="1" applyFill="1" applyBorder="1" applyAlignment="1">
      <alignment horizontal="right" vertical="center"/>
    </xf>
    <xf numFmtId="0" fontId="25" fillId="4" borderId="4" xfId="3" applyFill="1" applyBorder="1" applyAlignment="1">
      <alignment horizontal="left" vertical="center"/>
    </xf>
    <xf numFmtId="10" fontId="25" fillId="0" borderId="4" xfId="3" applyNumberFormat="1" applyBorder="1" applyAlignment="1">
      <alignment horizontal="right" vertical="center"/>
    </xf>
    <xf numFmtId="0" fontId="25" fillId="0" borderId="4" xfId="3" applyBorder="1" applyAlignment="1">
      <alignment horizontal="left" vertical="center"/>
    </xf>
    <xf numFmtId="1" fontId="25" fillId="0" borderId="4" xfId="3" applyNumberFormat="1" applyBorder="1" applyAlignment="1">
      <alignment horizontal="right" vertical="center"/>
    </xf>
    <xf numFmtId="10" fontId="25" fillId="4" borderId="4" xfId="3" applyNumberFormat="1" applyFill="1" applyBorder="1" applyAlignment="1">
      <alignment horizontal="right" vertical="center"/>
    </xf>
    <xf numFmtId="0" fontId="26" fillId="5" borderId="1" xfId="0" applyFont="1" applyFill="1" applyBorder="1" applyAlignment="1">
      <alignment horizontal="center" vertical="center"/>
    </xf>
    <xf numFmtId="0" fontId="0" fillId="4" borderId="1" xfId="0" applyFill="1" applyBorder="1" applyAlignment="1">
      <alignment horizontal="left" vertical="center"/>
    </xf>
    <xf numFmtId="0" fontId="0" fillId="0" borderId="1" xfId="0" applyBorder="1" applyAlignment="1">
      <alignment horizontal="left" vertical="center"/>
    </xf>
    <xf numFmtId="0" fontId="0" fillId="0" borderId="0" xfId="0"/>
    <xf numFmtId="0" fontId="30" fillId="0" borderId="0" xfId="0" applyFont="1" applyAlignment="1">
      <alignment vertical="center"/>
    </xf>
    <xf numFmtId="0" fontId="0" fillId="0" borderId="0" xfId="0" applyAlignment="1"/>
    <xf numFmtId="0" fontId="31" fillId="0" borderId="0" xfId="0" applyFont="1" applyAlignment="1"/>
    <xf numFmtId="6" fontId="0" fillId="0" borderId="0" xfId="0" applyNumberFormat="1" applyAlignment="1">
      <alignment horizontal="left" vertical="center" wrapText="1"/>
    </xf>
    <xf numFmtId="0" fontId="13" fillId="0" borderId="0" xfId="0" applyFont="1" applyBorder="1" applyAlignment="1">
      <alignment vertical="top"/>
    </xf>
    <xf numFmtId="0" fontId="13" fillId="0" borderId="5" xfId="0" applyFont="1" applyBorder="1" applyAlignment="1">
      <alignment horizontal="center" vertical="top" wrapText="1"/>
    </xf>
    <xf numFmtId="44" fontId="0" fillId="0" borderId="0" xfId="1" applyFont="1" applyAlignment="1">
      <alignment vertical="center"/>
    </xf>
    <xf numFmtId="0" fontId="0" fillId="0" borderId="0" xfId="0" applyAlignment="1">
      <alignment horizontal="center" vertical="center"/>
    </xf>
    <xf numFmtId="0" fontId="32" fillId="0" borderId="0" xfId="0" applyFont="1" applyAlignment="1">
      <alignment vertical="center" wrapText="1"/>
    </xf>
    <xf numFmtId="0" fontId="6" fillId="0" borderId="0" xfId="2" applyAlignment="1">
      <alignment vertical="top" wrapText="1"/>
    </xf>
    <xf numFmtId="0" fontId="33" fillId="0" borderId="0" xfId="0" applyFont="1" applyAlignment="1">
      <alignment vertical="top" wrapText="1"/>
    </xf>
    <xf numFmtId="0" fontId="0" fillId="0" borderId="0" xfId="0" applyAlignment="1">
      <alignment horizontal="left" vertical="center"/>
    </xf>
    <xf numFmtId="0" fontId="33" fillId="0" borderId="0" xfId="0" applyFont="1" applyAlignment="1">
      <alignment horizontal="left" vertical="center" wrapText="1"/>
    </xf>
    <xf numFmtId="0" fontId="0" fillId="0" borderId="0" xfId="0" applyFill="1" applyBorder="1" applyAlignment="1">
      <alignment vertical="center"/>
    </xf>
    <xf numFmtId="0" fontId="32" fillId="0" borderId="0" xfId="0" applyFont="1" applyFill="1" applyBorder="1" applyAlignment="1">
      <alignment vertical="center" wrapText="1"/>
    </xf>
    <xf numFmtId="0" fontId="13" fillId="0" borderId="0" xfId="0" applyFont="1" applyAlignment="1">
      <alignment vertical="center" wrapText="1"/>
    </xf>
    <xf numFmtId="0" fontId="33" fillId="0" borderId="0" xfId="0" applyFont="1" applyAlignment="1">
      <alignment wrapText="1"/>
    </xf>
    <xf numFmtId="44" fontId="0" fillId="0" borderId="0" xfId="1" applyFont="1" applyAlignment="1">
      <alignment horizontal="center" vertical="center"/>
    </xf>
    <xf numFmtId="0" fontId="35" fillId="0" borderId="0" xfId="0" applyFont="1" applyAlignment="1">
      <alignment vertical="center" wrapText="1"/>
    </xf>
    <xf numFmtId="0" fontId="33" fillId="0" borderId="0" xfId="0" applyFont="1" applyAlignment="1">
      <alignment vertical="center" wrapText="1"/>
    </xf>
    <xf numFmtId="0" fontId="36" fillId="0" borderId="0" xfId="0" applyFont="1" applyAlignment="1">
      <alignment vertical="center" wrapText="1"/>
    </xf>
    <xf numFmtId="0" fontId="37" fillId="0" borderId="0" xfId="0" applyFont="1" applyAlignment="1">
      <alignment vertical="center" wrapText="1"/>
    </xf>
    <xf numFmtId="0" fontId="38" fillId="0" borderId="0" xfId="0" applyFont="1" applyAlignment="1">
      <alignment wrapText="1"/>
    </xf>
    <xf numFmtId="0" fontId="5" fillId="0" borderId="0" xfId="0" applyFont="1" applyAlignment="1">
      <alignment horizontal="center" vertical="center" wrapText="1"/>
    </xf>
    <xf numFmtId="0" fontId="39" fillId="0" borderId="0" xfId="0" applyFont="1" applyAlignment="1">
      <alignment vertical="center" wrapText="1"/>
    </xf>
    <xf numFmtId="0" fontId="8" fillId="0" borderId="0" xfId="0" applyFont="1" applyAlignment="1">
      <alignment wrapText="1"/>
    </xf>
    <xf numFmtId="0" fontId="40" fillId="0" borderId="0" xfId="0" applyFont="1" applyAlignment="1">
      <alignment vertical="center" wrapText="1"/>
    </xf>
    <xf numFmtId="0" fontId="41" fillId="0" borderId="0" xfId="0" applyFont="1" applyAlignment="1">
      <alignment vertical="center" wrapText="1"/>
    </xf>
    <xf numFmtId="0" fontId="0" fillId="0" borderId="0" xfId="0" applyAlignment="1">
      <alignment horizontal="right" vertical="center" wrapText="1"/>
    </xf>
    <xf numFmtId="0" fontId="13" fillId="0" borderId="0" xfId="0" applyFont="1"/>
    <xf numFmtId="0" fontId="18" fillId="0" borderId="0" xfId="0" applyFont="1" applyAlignment="1">
      <alignment horizontal="center" vertical="center"/>
    </xf>
    <xf numFmtId="0" fontId="2" fillId="0" borderId="0" xfId="0" applyFont="1" applyAlignment="1">
      <alignment horizontal="center" vertical="center" wrapText="1"/>
    </xf>
    <xf numFmtId="0" fontId="0" fillId="0" borderId="0" xfId="0"/>
    <xf numFmtId="0" fontId="0" fillId="0" borderId="0" xfId="0" applyAlignment="1">
      <alignment horizontal="left" vertical="top" wrapText="1"/>
    </xf>
    <xf numFmtId="0" fontId="20" fillId="0" borderId="0" xfId="0" applyFont="1" applyAlignment="1">
      <alignment horizontal="center" vertical="center" wrapText="1"/>
    </xf>
    <xf numFmtId="0" fontId="27" fillId="6" borderId="0" xfId="3" applyFont="1" applyFill="1" applyAlignment="1">
      <alignment horizontal="center" vertical="center"/>
    </xf>
    <xf numFmtId="0" fontId="25" fillId="0" borderId="0" xfId="3"/>
    <xf numFmtId="0" fontId="28" fillId="7" borderId="0" xfId="3" applyFont="1" applyFill="1" applyAlignment="1">
      <alignment horizontal="center" vertical="center"/>
    </xf>
    <xf numFmtId="0" fontId="29" fillId="7" borderId="0" xfId="0" applyFont="1" applyFill="1" applyAlignment="1">
      <alignment horizontal="center" vertical="center"/>
    </xf>
    <xf numFmtId="0" fontId="42" fillId="0" borderId="0" xfId="0" applyFont="1" applyAlignment="1">
      <alignment vertical="center" wrapText="1"/>
    </xf>
  </cellXfs>
  <cellStyles count="4">
    <cellStyle name="Hipervínculo" xfId="2" builtinId="8"/>
    <cellStyle name="Moneda" xfId="1" builtinId="4"/>
    <cellStyle name="Normal" xfId="0" builtinId="0"/>
    <cellStyle name="Normal 2" xfId="3"/>
  </cellStyles>
  <dxfs count="48">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rial"/>
        <scheme val="none"/>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rial"/>
        <scheme val="none"/>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rial"/>
        <scheme val="none"/>
      </font>
      <alignment horizontal="center" vertical="center" textRotation="0" wrapText="1" indent="0" justifyLastLine="0" shrinkToFit="0" readingOrder="0"/>
    </dxf>
    <dxf>
      <font>
        <strike val="0"/>
        <outline val="0"/>
        <shadow val="0"/>
        <u val="none"/>
        <vertAlign val="baseline"/>
        <sz val="11"/>
        <color auto="1"/>
        <name val="Arial"/>
        <scheme val="none"/>
      </font>
      <alignment horizontal="general" vertical="center" textRotation="0" wrapText="1" indent="0" justifyLastLine="0" shrinkToFit="0" readingOrder="0"/>
    </dxf>
    <dxf>
      <font>
        <strike val="0"/>
        <outline val="0"/>
        <shadow val="0"/>
        <u val="none"/>
        <vertAlign val="baseline"/>
        <sz val="11"/>
        <color auto="1"/>
        <name val="Arial"/>
        <scheme val="none"/>
      </font>
      <alignment horizontal="general" vertical="center" textRotation="0" wrapText="1" indent="0" justifyLastLine="0" shrinkToFit="0" readingOrder="0"/>
    </dxf>
    <dxf>
      <font>
        <strike val="0"/>
        <outline val="0"/>
        <shadow val="0"/>
        <u val="none"/>
        <vertAlign val="baseline"/>
        <sz val="11"/>
        <color auto="1"/>
        <name val="Arial"/>
        <scheme val="none"/>
      </font>
      <alignment horizontal="general" vertical="center" textRotation="0" wrapText="1" indent="0" justifyLastLine="0" shrinkToFit="0" readingOrder="0"/>
    </dxf>
    <dxf>
      <font>
        <strike val="0"/>
        <outline val="0"/>
        <shadow val="0"/>
        <u val="none"/>
        <vertAlign val="baseline"/>
        <sz val="11"/>
        <color auto="1"/>
        <name val="Arial"/>
        <scheme val="none"/>
      </font>
      <alignment horizontal="general" vertical="center" textRotation="0" wrapText="1" indent="0" justifyLastLine="0" shrinkToFit="0" readingOrder="0"/>
    </dxf>
    <dxf>
      <font>
        <strike val="0"/>
        <outline val="0"/>
        <shadow val="0"/>
        <u val="none"/>
        <vertAlign val="baseline"/>
        <sz val="11"/>
        <color auto="1"/>
        <name val="Arial"/>
        <scheme val="none"/>
      </font>
      <alignment horizontal="general" vertical="center" textRotation="0" wrapText="1" indent="0" justifyLastLine="0" shrinkToFit="0" readingOrder="0"/>
    </dxf>
    <dxf>
      <font>
        <b/>
        <i val="0"/>
        <strike val="0"/>
        <condense val="0"/>
        <extend val="0"/>
        <outline val="0"/>
        <shadow val="0"/>
        <u val="none"/>
        <vertAlign val="baseline"/>
        <sz val="11"/>
        <color theme="0"/>
        <name val="Arial"/>
        <scheme val="none"/>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rial"/>
        <scheme val="none"/>
      </font>
      <alignment horizontal="center" vertical="center" textRotation="0" wrapText="1" indent="0" justifyLastLine="0" shrinkToFit="0" readingOrder="0"/>
    </dxf>
    <dxf>
      <font>
        <color rgb="FF9C0006"/>
      </font>
      <fill>
        <patternFill>
          <bgColor rgb="FFFFC7CE"/>
        </patternFill>
      </fill>
    </dxf>
    <dxf>
      <font>
        <b val="0"/>
        <i val="0"/>
        <strike val="0"/>
        <condense val="0"/>
        <extend val="0"/>
        <outline val="0"/>
        <shadow val="0"/>
        <u val="none"/>
        <vertAlign val="baseline"/>
        <sz val="11"/>
        <color theme="1"/>
        <name val="Arial"/>
        <scheme val="none"/>
      </font>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scheme val="none"/>
      </font>
      <border diagonalUp="0" diagonalDown="0">
        <left style="thin">
          <color auto="1"/>
        </left>
        <right style="thin">
          <color auto="1"/>
        </right>
        <top style="thin">
          <color auto="1"/>
        </top>
        <bottom style="thin">
          <color auto="1"/>
        </bottom>
        <vertical/>
        <horizontal/>
      </border>
    </dxf>
    <dxf>
      <border outline="0">
        <bottom style="thin">
          <color auto="1"/>
        </bottom>
      </border>
    </dxf>
    <dxf>
      <font>
        <color rgb="FF9C0006"/>
      </font>
      <fill>
        <patternFill>
          <bgColor rgb="FFFFC7CE"/>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rial"/>
        <scheme val="none"/>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rial"/>
        <scheme val="none"/>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4</xdr:col>
      <xdr:colOff>793750</xdr:colOff>
      <xdr:row>60</xdr:row>
      <xdr:rowOff>98274</xdr:rowOff>
    </xdr:from>
    <xdr:to>
      <xdr:col>8</xdr:col>
      <xdr:colOff>536727</xdr:colOff>
      <xdr:row>72</xdr:row>
      <xdr:rowOff>90714</xdr:rowOff>
    </xdr:to>
    <xdr:sp macro="" textlink="">
      <xdr:nvSpPr>
        <xdr:cNvPr id="2" name="CuadroTexto 1"/>
        <xdr:cNvSpPr txBox="1"/>
      </xdr:nvSpPr>
      <xdr:spPr>
        <a:xfrm>
          <a:off x="6690179" y="24130000"/>
          <a:ext cx="5095119" cy="21695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a:t>En Toluca y Metepec, una casa de interés social bien ubicada se vende normalmente en un plazo de tres a seis meses; para un análisis financiero se considera un promedio de seis meses. Un proyecto típico con un terreno de 200 m² implica una inversión aproximada de un millón doscientos mil pesos en el terreno, seiscientos ochenta mil pesos en la construcción de una vivienda de 80 m² y alrededor de noventa mil pesos en gastos legales y permisos, dando una inversión total cercana a un millón novecientos setenta mil pesos. La casa puede venderse aproximadamente en dos millones trescientos mil pesos, generando una utilidad bruta de alrededor de trescientos treinta mil pesos. El tiempo total del proyecto, considerando construcción y venta, es de diez a doce meses, con una rentabilidad anual estimada del quince al veinte por ciento, siempre que se compre bien el terreno, se controlen los costos de construcción y no se alargue el tiempo de venta.</a:t>
          </a:r>
          <a:endParaRPr lang="es-MX"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304800</xdr:colOff>
      <xdr:row>1</xdr:row>
      <xdr:rowOff>203200</xdr:rowOff>
    </xdr:from>
    <xdr:to>
      <xdr:col>12</xdr:col>
      <xdr:colOff>603250</xdr:colOff>
      <xdr:row>2</xdr:row>
      <xdr:rowOff>1022350</xdr:rowOff>
    </xdr:to>
    <xdr:sp macro="" textlink="">
      <xdr:nvSpPr>
        <xdr:cNvPr id="2" name="CuadroTexto 1"/>
        <xdr:cNvSpPr txBox="1"/>
      </xdr:nvSpPr>
      <xdr:spPr>
        <a:xfrm>
          <a:off x="7658100" y="571500"/>
          <a:ext cx="3549650" cy="2241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a:t>Para validar que el proyecto no estuviera basado en estimaciones arbitrarias, se realizó un análisis de mercado utilizando propiedades comparables en Toluca y Metepec.</a:t>
          </a:r>
        </a:p>
        <a:p>
          <a:r>
            <a:rPr lang="es-MX"/>
            <a:t>Se calcularon los precios reales por metro cuadrado tanto de terrenos como de casas terminadas, dividiendo el precio total entre los metros cuadrados correspondientes.</a:t>
          </a:r>
        </a:p>
        <a:p>
          <a:r>
            <a:rPr lang="es-MX"/>
            <a:t>Con esto se obtuvo un promedio de mercado que nos permitió definir un rango competitivo de venta y verificar que nuestro proyecto se encuentra dentro de parámetros reales del mercado actual.</a:t>
          </a:r>
        </a:p>
        <a:p>
          <a:endParaRPr lang="es-MX"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793750</xdr:colOff>
      <xdr:row>7</xdr:row>
      <xdr:rowOff>0</xdr:rowOff>
    </xdr:from>
    <xdr:to>
      <xdr:col>10</xdr:col>
      <xdr:colOff>755650</xdr:colOff>
      <xdr:row>9</xdr:row>
      <xdr:rowOff>203200</xdr:rowOff>
    </xdr:to>
    <xdr:sp macro="" textlink="">
      <xdr:nvSpPr>
        <xdr:cNvPr id="2" name="CuadroTexto 1"/>
        <xdr:cNvSpPr txBox="1"/>
      </xdr:nvSpPr>
      <xdr:spPr>
        <a:xfrm>
          <a:off x="7327900" y="1244600"/>
          <a:ext cx="4025900" cy="1625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b="0"/>
            <a:t>Nivel de adopción recomendado: MEDIO.</a:t>
          </a:r>
          <a:br>
            <a:rPr lang="es-MX" b="0"/>
          </a:br>
          <a:r>
            <a:rPr lang="es-MX" b="0"/>
            <a:t>Consiste en usar herramientas accesibles para control de obra y presupuestos; tecnologías avanzadas no se justifican en proyectos pequeños.</a:t>
          </a:r>
        </a:p>
        <a:p>
          <a:r>
            <a:rPr lang="es-MX" b="0"/>
            <a:t>La tecnología se mide por su impacto: reduce sobrecostos (5–10%), acorta tiempos de obra (≈10%), ahorra en materiales (3–8%) y disminuye retrabajos. También ayuda a mejorar el margen de venta.</a:t>
          </a:r>
        </a:p>
        <a:p>
          <a:endParaRPr lang="es-MX"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704850</xdr:colOff>
      <xdr:row>1</xdr:row>
      <xdr:rowOff>368300</xdr:rowOff>
    </xdr:from>
    <xdr:to>
      <xdr:col>9</xdr:col>
      <xdr:colOff>387350</xdr:colOff>
      <xdr:row>5</xdr:row>
      <xdr:rowOff>25400</xdr:rowOff>
    </xdr:to>
    <xdr:sp macro="" textlink="">
      <xdr:nvSpPr>
        <xdr:cNvPr id="2" name="CuadroTexto 1"/>
        <xdr:cNvSpPr txBox="1"/>
      </xdr:nvSpPr>
      <xdr:spPr>
        <a:xfrm>
          <a:off x="6477000" y="546100"/>
          <a:ext cx="3746500" cy="161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a:t>Se integró un análisis del perfil del comprador objetivo en la zona.</a:t>
          </a:r>
        </a:p>
        <a:p>
          <a:r>
            <a:rPr lang="es-MX"/>
            <a:t>En Toluca, el mercado predominante corresponde a trabajadores formales que utilizan crédito Infonavit o Cofinavit, mientras que en Metepec existe mayor participación de crédito bancario.</a:t>
          </a:r>
        </a:p>
        <a:p>
          <a:r>
            <a:rPr lang="es-MX"/>
            <a:t>Esto nos permitió ajustar el tamaño de vivienda, el rango de precio y el tipo de producto para alinearlo con la capacidad de pago del segmento dominante.</a:t>
          </a:r>
        </a:p>
        <a:p>
          <a:endParaRPr lang="es-MX"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57150</xdr:colOff>
      <xdr:row>1</xdr:row>
      <xdr:rowOff>6350</xdr:rowOff>
    </xdr:from>
    <xdr:to>
      <xdr:col>7</xdr:col>
      <xdr:colOff>514350</xdr:colOff>
      <xdr:row>10</xdr:row>
      <xdr:rowOff>0</xdr:rowOff>
    </xdr:to>
    <xdr:sp macro="" textlink="">
      <xdr:nvSpPr>
        <xdr:cNvPr id="2" name="CuadroTexto 1"/>
        <xdr:cNvSpPr txBox="1"/>
      </xdr:nvSpPr>
      <xdr:spPr>
        <a:xfrm>
          <a:off x="4641850" y="323850"/>
          <a:ext cx="3708400" cy="159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a:t>Se incorporó una tabla de compatibilidad crediticia para evaluar si el precio objetivo del proyecto es financiable dentro del esquema de crédito predominante.</a:t>
          </a:r>
        </a:p>
        <a:p>
          <a:r>
            <a:rPr lang="es-MX"/>
            <a:t>Se concluyó que el rango cercano a $1,500,000 es viable principalmente bajo esquema Cofinavit, lo cual amplía el mercado potencial y reduce el riesgo de baja absorción.</a:t>
          </a:r>
        </a:p>
        <a:p>
          <a:endParaRPr lang="es-MX" sz="1100"/>
        </a:p>
      </xdr:txBody>
    </xdr:sp>
    <xdr:clientData/>
  </xdr:twoCellAnchor>
</xdr:wsDr>
</file>

<file path=xl/tables/table1.xml><?xml version="1.0" encoding="utf-8"?>
<table xmlns="http://schemas.openxmlformats.org/spreadsheetml/2006/main" id="9" name="Tabla9" displayName="Tabla9" ref="A3:D13" totalsRowShown="0" headerRowDxfId="47" dataDxfId="46">
  <autoFilter ref="A3:D13"/>
  <tableColumns count="4">
    <tableColumn id="1" name="Requisito / Documento" dataDxfId="45"/>
    <tableColumn id="2" name="Quién lo entrega" dataDxfId="44"/>
    <tableColumn id="3" name="Para qué sirve" dataDxfId="43"/>
    <tableColumn id="4" name="¿Es obligatorio?" dataDxfId="42"/>
  </tableColumns>
  <tableStyleInfo name="TableStyleMedium2" showFirstColumn="0" showLastColumn="0" showRowStripes="1" showColumnStripes="0"/>
</table>
</file>

<file path=xl/tables/table2.xml><?xml version="1.0" encoding="utf-8"?>
<table xmlns="http://schemas.openxmlformats.org/spreadsheetml/2006/main" id="10" name="Tabla10" displayName="Tabla10" ref="H3:K13" totalsRowShown="0" headerRowDxfId="41" dataDxfId="40">
  <autoFilter ref="H3:K13"/>
  <tableColumns count="4">
    <tableColumn id="1" name="Concepto" dataDxfId="39"/>
    <tableColumn id="2" name="Qué es" dataDxfId="38"/>
    <tableColumn id="3" name="Aproximación del costo" dataDxfId="37"/>
    <tableColumn id="4" name="Quién lo paga" dataDxfId="36"/>
  </tableColumns>
  <tableStyleInfo name="TableStyleMedium2" showFirstColumn="0" showLastColumn="0" showRowStripes="1" showColumnStripes="0"/>
</table>
</file>

<file path=xl/tables/table3.xml><?xml version="1.0" encoding="utf-8"?>
<table xmlns="http://schemas.openxmlformats.org/spreadsheetml/2006/main" id="3" name="Tabla3" displayName="Tabla3" ref="B62:D79" totalsRowShown="0" tableBorderDxfId="34">
  <autoFilter ref="B62:D79"/>
  <tableColumns count="3">
    <tableColumn id="1" name="Datos " dataDxfId="33"/>
    <tableColumn id="2" name="aproximación" dataDxfId="32" dataCellStyle="Moneda"/>
    <tableColumn id="3" name="aproximación " dataDxfId="31" dataCellStyle="Moneda"/>
  </tableColumns>
  <tableStyleInfo name="TableStyleMedium2" showFirstColumn="0" showLastColumn="0" showRowStripes="1" showColumnStripes="0"/>
</table>
</file>

<file path=xl/tables/table4.xml><?xml version="1.0" encoding="utf-8"?>
<table xmlns="http://schemas.openxmlformats.org/spreadsheetml/2006/main" id="1" name="Tabla1" displayName="Tabla1" ref="A33:E41" totalsRowShown="0" headerRowDxfId="29" dataDxfId="28">
  <autoFilter ref="A33:E41"/>
  <tableColumns count="5">
    <tableColumn id="1" name="Forma de cobro" dataDxfId="27"/>
    <tableColumn id="2" name="Tipo de trabajador" dataDxfId="26"/>
    <tableColumn id="3" name="Costo aproximado" dataDxfId="25"/>
    <tableColumn id="4" name="Unidad" dataDxfId="24"/>
    <tableColumn id="5" name="Notas" dataDxfId="23"/>
  </tableColumns>
  <tableStyleInfo name="TableStyleMedium2" showFirstColumn="0" showLastColumn="0" showRowStripes="1" showColumnStripes="0"/>
</table>
</file>

<file path=xl/tables/table5.xml><?xml version="1.0" encoding="utf-8"?>
<table xmlns="http://schemas.openxmlformats.org/spreadsheetml/2006/main" id="5" name="Tabla5" displayName="Tabla5" ref="A4:E17" totalsRowShown="0" headerRowDxfId="22" dataDxfId="21">
  <autoFilter ref="A4:E17"/>
  <tableColumns count="5">
    <tableColumn id="1" name="Categoría" dataDxfId="20"/>
    <tableColumn id="2" name="Riesgo" dataDxfId="19"/>
    <tableColumn id="3" name="Descripción breve" dataDxfId="18"/>
    <tableColumn id="4" name="Nivel"/>
    <tableColumn id="5" name="Cómo se cuantifica" dataDxfId="17"/>
  </tableColumns>
  <tableStyleInfo name="TableStyleLight8" showFirstColumn="0" showLastColumn="0" showRowStripes="1" showColumnStripes="0"/>
</table>
</file>

<file path=xl/tables/table6.xml><?xml version="1.0" encoding="utf-8"?>
<table xmlns="http://schemas.openxmlformats.org/spreadsheetml/2006/main" id="7" name="Tabla7" displayName="Tabla7" ref="A7:E15" totalsRowShown="0" headerRowDxfId="16" dataDxfId="15">
  <autoFilter ref="A7:E15"/>
  <tableColumns count="5">
    <tableColumn id="1" name="Categoría" dataDxfId="14"/>
    <tableColumn id="2" name="Tecnología" dataDxfId="13"/>
    <tableColumn id="3" name="Qué hace" dataDxfId="12"/>
    <tableColumn id="4" name="Cómo se aplica en proyecto pequeño" dataDxfId="11"/>
    <tableColumn id="5" name="Beneficio principal" dataDxfId="10"/>
  </tableColumns>
  <tableStyleInfo name="TableStyleLight11" showFirstColumn="0" showLastColumn="0" showRowStripes="1" showColumnStripes="0"/>
</table>
</file>

<file path=xl/tables/table7.xml><?xml version="1.0" encoding="utf-8"?>
<table xmlns="http://schemas.openxmlformats.org/spreadsheetml/2006/main" id="2" name="tblFlujos" displayName="tblFlujos" ref="A14:C75">
  <autoFilter ref="A14:C75"/>
  <tableColumns count="3">
    <tableColumn id="1" name="Periodo (mes)"/>
    <tableColumn id="2" name="Flujo"/>
    <tableColumn id="3" name="Acumulado"/>
  </tableColumns>
  <tableStyleInfo name="TableStyleMedium9" showFirstColumn="0" showLastColumn="0" showRowStripes="1" showColumnStripes="0"/>
</table>
</file>

<file path=xl/tables/table8.xml><?xml version="1.0" encoding="utf-8"?>
<table xmlns="http://schemas.openxmlformats.org/spreadsheetml/2006/main" id="8" name="tblIndicadores" displayName="tblIndicadores" ref="A2:D10">
  <autoFilter ref="A2:D10"/>
  <tableColumns count="4">
    <tableColumn id="1" name="Indicador"/>
    <tableColumn id="2" name="Definición breve"/>
    <tableColumn id="3" name="Valor referencia"/>
    <tableColumn id="4" name="Impacto en el proyecto"/>
  </tableColumns>
  <tableStyleInfo name="TableStyleMedium9" showFirstColumn="0" showLastColumn="0" showRowStripes="1" showColumnStripes="0"/>
</table>
</file>

<file path=xl/tables/table9.xml><?xml version="1.0" encoding="utf-8"?>
<table xmlns="http://schemas.openxmlformats.org/spreadsheetml/2006/main" id="4" name="Tabla4" displayName="Tabla4" ref="A1:D6" totalsRowShown="0" headerRowDxfId="9" dataDxfId="8">
  <autoFilter ref="A1:D6"/>
  <tableColumns count="4">
    <tableColumn id="1" name="Variable" dataDxfId="7"/>
    <tableColumn id="2" name="Toluca (Estimado 2026)" dataDxfId="6"/>
    <tableColumn id="3" name="Metepec (Estimado 2026)" dataDxfId="5"/>
    <tableColumn id="4" name="Impacto en proyecto" dataDxfId="4"/>
  </tableColumns>
  <tableStyleInfo name="TableStyleMedium2" showFirstColumn="0" showLastColumn="0" showRowStripes="1" showColumnStripes="0"/>
</table>
</file>

<file path=xl/tables/table10.xml><?xml version="1.0" encoding="utf-8"?>
<table xmlns="http://schemas.openxmlformats.org/spreadsheetml/2006/main" id="6" name="Tabla6" displayName="Tabla6" ref="A3:B8" totalsRowShown="0" headerRowDxfId="3" dataDxfId="2">
  <autoFilter ref="A3:B8"/>
  <tableColumns count="2">
    <tableColumn id="1" name="Variable" dataDxfId="1"/>
    <tableColumn id="2" name="Resultado estimado"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hyperlink" Target="https://terreno.mercadolibre.com.mx/MLM-4171585162-terreno-en-venta-en-san-miguel-totocuitlapilco-metepec-mexico-_JM" TargetMode="External"/><Relationship Id="rId13" Type="http://schemas.openxmlformats.org/officeDocument/2006/relationships/hyperlink" Target="https://www.inmuebles24.com/propiedades/clasificado/vecltein-lotes-de-terreno-en-venta-atras-de-portofino-144406154.html?n_src=Listado&amp;n_pills=Uso+de+suelo+mixto&amp;n_pg=5&amp;n_pos=16" TargetMode="External"/><Relationship Id="rId18" Type="http://schemas.openxmlformats.org/officeDocument/2006/relationships/hyperlink" Target="https://www.vivanuncios.com.mx/a-venta-terreno/san-lorenzo-tepaltitlan-centro/terreno-en-san-lorenzo-tepaltitlan-centro/148591013?n_src=Listado&amp;n_pg=1&amp;n_pos=2" TargetMode="External"/><Relationship Id="rId3" Type="http://schemas.openxmlformats.org/officeDocument/2006/relationships/hyperlink" Target="https://www.inmuebles24.com/propiedades/clasificado/vecltein-terreno-en-venta-en-8-cedros-toluca-148279571.html?n_src=Listado&amp;n_pills=Zona+tranquila&amp;n_pg=1&amp;n_pos=6" TargetMode="External"/><Relationship Id="rId21" Type="http://schemas.openxmlformats.org/officeDocument/2006/relationships/drawing" Target="../drawings/drawing1.xml"/><Relationship Id="rId7" Type="http://schemas.openxmlformats.org/officeDocument/2006/relationships/hyperlink" Target="https://www.inmuebles24.com/propiedades/clasificado/vecltein-preventa-lotes-200-m-sup2--reserva-buenavista-toluca-147412961.html?n_src=Listado&amp;n_pills=Ideal+para+invertir&amp;n_pg=2&amp;n_pos=5" TargetMode="External"/><Relationship Id="rId12" Type="http://schemas.openxmlformats.org/officeDocument/2006/relationships/hyperlink" Target="https://www.inmuebles24.com/propiedades/clasificado/vecltein-terreno-en-venta-en-san-diego-de-los-padres-144483500.html?n_src=Listado&amp;n_pills=Listo+para+negocio&amp;n_pg=4&amp;n_pos=1" TargetMode="External"/><Relationship Id="rId17" Type="http://schemas.openxmlformats.org/officeDocument/2006/relationships/hyperlink" Target="https://terreno.mercadolibre.com.mx/MLM-3889957598-terreno-en-venta-en-san-lorenzo-tepaltitlan-toluca-estado-de-mexico-_JM" TargetMode="External"/><Relationship Id="rId2" Type="http://schemas.openxmlformats.org/officeDocument/2006/relationships/hyperlink" Target="https://www.inmuebles24.com/propiedades/clasificado/vecltein-terreno-en-boulevard-aeropuerto-toluca-66440504.html?n_src=Listado&amp;n_pills=Terreno+plano&amp;n_pg=1&amp;n_pos=3" TargetMode="External"/><Relationship Id="rId16" Type="http://schemas.openxmlformats.org/officeDocument/2006/relationships/hyperlink" Target="https://propiedades.com/inmuebles/terreno-habitacional-en-venta-san-mateo-oxtotitlan-mexico-28252745" TargetMode="External"/><Relationship Id="rId20" Type="http://schemas.openxmlformats.org/officeDocument/2006/relationships/printerSettings" Target="../printerSettings/printerSettings1.bin"/><Relationship Id="rId1" Type="http://schemas.openxmlformats.org/officeDocument/2006/relationships/hyperlink" Target="https://www.inmuebles24.com/propiedades/clasificado/vecltein-terreno-en-venta-santa-cruz-azcapozaltongo-tolucan-144483577.html?n_src=Listado&amp;n_pills=Propiedad+privada&amp;n_pg=1&amp;n_pos=1" TargetMode="External"/><Relationship Id="rId6" Type="http://schemas.openxmlformats.org/officeDocument/2006/relationships/hyperlink" Target="https://www.inmuebles24.com/propiedades/clasificado/vecltein-terreno-en-capultitlan-priv.-luis-d.-colosio-142220832.html?n_src=Listado&amp;n_pills=Terreno+a+pie+de+calle&amp;n_pg=1&amp;n_pos=15" TargetMode="External"/><Relationship Id="rId11" Type="http://schemas.openxmlformats.org/officeDocument/2006/relationships/hyperlink" Target="https://www.inmuebles24.com/propiedades/clasificado/vecltein-terreno-en-venta-en-toluca-147241370.html?n_src=Listado&amp;n_pills=Servicios+a+pie+de+calle&amp;n_pg=3&amp;n_pos=7" TargetMode="External"/><Relationship Id="rId24" Type="http://schemas.openxmlformats.org/officeDocument/2006/relationships/comments" Target="../comments1.xml"/><Relationship Id="rId5" Type="http://schemas.openxmlformats.org/officeDocument/2006/relationships/hyperlink" Target="https://www.inmuebles24.com/propiedades/clasificado/vecltein-terreno-en-venta-muy-cerca-de-la-hacienda-barbabosa-145837177.html?n_src=Listado&amp;n_pills=Cerca+del+tren&amp;n_pg=1&amp;n_pos=12" TargetMode="External"/><Relationship Id="rId15" Type="http://schemas.openxmlformats.org/officeDocument/2006/relationships/hyperlink" Target="https://www.inmuebles24.com/propiedades/clasificado/vecltein-venta-de-terreno-en-toluca-ubicado-en-san-cristobal-145266879.html?n_src=Listado&amp;n_pg=1&amp;n_pos=21" TargetMode="External"/><Relationship Id="rId23" Type="http://schemas.openxmlformats.org/officeDocument/2006/relationships/table" Target="../tables/table3.xml"/><Relationship Id="rId10" Type="http://schemas.openxmlformats.org/officeDocument/2006/relationships/hyperlink" Target="https://www.inmuebles24.com/propiedades/clasificado/vecltein-terreno-residencial-en-venta-de-201-m-sup2--en-privada-148548245.html?n_src=Listado&amp;n_pills=Condominio+privado&amp;n_pg=3&amp;n_pos=3" TargetMode="External"/><Relationship Id="rId19" Type="http://schemas.openxmlformats.org/officeDocument/2006/relationships/hyperlink" Target="https://www.vivanuncios.com.mx/a-venta-terreno/santa-cruz-azcapotzaltongo/terreno-en-venta-santa-cruz-azcapotzaltongo-toluca/144484143?n_src=Listado&amp;n_pg=1&amp;n_pos=13" TargetMode="External"/><Relationship Id="rId4" Type="http://schemas.openxmlformats.org/officeDocument/2006/relationships/hyperlink" Target="https://www.inmuebles24.com/propiedades/clasificado/vecltein-terreno-a-unos-minutos-del-parque-bicentenario-de-147591668.html?n_src=Listado&amp;n_pills=Alta+plusval%C3%ADa&amp;n_pg=1&amp;n_pos=9" TargetMode="External"/><Relationship Id="rId9" Type="http://schemas.openxmlformats.org/officeDocument/2006/relationships/hyperlink" Target="https://www.inmuebles24.com/propiedades/clasificado/vecltein-venta-de-terreno-en-toluca-terreno-ubicado-en-colonia-148018941.html?n_src=Listado&amp;n_pills=Excelente+ubicaci%C3%B3n&amp;n_pg=1&amp;n_pos=4" TargetMode="External"/><Relationship Id="rId14" Type="http://schemas.openxmlformats.org/officeDocument/2006/relationships/hyperlink" Target="https://www.inmuebles24.com/propiedades/clasificado/vecltein-terreno-calixtlahuaca-146315204.html?n_src=Listado&amp;n_pills=Oportunidad+%C3%BAnica&amp;n_pg=5&amp;n_pos=28" TargetMode="External"/><Relationship Id="rId22"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8" Type="http://schemas.openxmlformats.org/officeDocument/2006/relationships/hyperlink" Target="https://www.inmuebles24.com/propiedades/clasificado/veclcain-casa-en-venta-toluca-148834961.html?n_src=Listado&amp;n_pills=Reci%C3%A9n+remodelada&amp;n_pg=2&amp;n_pos=6" TargetMode="External"/><Relationship Id="rId3" Type="http://schemas.openxmlformats.org/officeDocument/2006/relationships/hyperlink" Target="https://www.inmuebles24.com/propiedades/clasificado/veclcain-casa-con-credito-infonavit-dos-plantas-y-una-recamara-148967928.html?n_src=Listado&amp;n_pills=Libre+de+gravamen&amp;n_pg=1&amp;n_pos=10" TargetMode="External"/><Relationship Id="rId7" Type="http://schemas.openxmlformats.org/officeDocument/2006/relationships/hyperlink" Target="https://www.inmuebles24.com/propiedades/clasificado/veclcain-casa-en-venta-en-santa-maria-totoltepec-148275016.html?n_src=Listado&amp;n_pills=Buena+iluminaci%C3%B3n&amp;n_pg=1&amp;n_pos=21" TargetMode="External"/><Relationship Id="rId2" Type="http://schemas.openxmlformats.org/officeDocument/2006/relationships/hyperlink" Target="https://www.inmuebles24.com/propiedades/clasificado/veclcain-casa-en-venta-en-los-sauces-26-1494.-148971434.html?n_src=Listado&amp;n_pills=Sala+y+comedor&amp;n_pg=1&amp;n_pos=7" TargetMode="External"/><Relationship Id="rId1" Type="http://schemas.openxmlformats.org/officeDocument/2006/relationships/hyperlink" Target="https://www.inmuebles24.com/propiedades/clasificado/veclcain-venta-casa-toluca.-inversion-segura-148816735.html?n_src=Listado&amp;n_pills=Concesi%C3%B3n+de+derechos&amp;n_pg=1&amp;n_pos=4" TargetMode="External"/><Relationship Id="rId6" Type="http://schemas.openxmlformats.org/officeDocument/2006/relationships/hyperlink" Target="https://www.inmuebles24.com/propiedades/clasificado/veclcain-casa-en-venta-toluca-san-mateo-oxtotitlan-148623403.html?n_src=Listado&amp;n_pills=2+dormitorios&amp;n_pg=1&amp;n_pos=17" TargetMode="External"/><Relationship Id="rId5" Type="http://schemas.openxmlformats.org/officeDocument/2006/relationships/hyperlink" Target="https://www.inmuebles24.com/propiedades/clasificado/veclcain-casa-en-venta-los-sauces-v-en-privada-toluca-145700555.html?n_src=Listado&amp;n_pills=Casa+en+privada&amp;n_pg=1&amp;n_pos=13" TargetMode="External"/><Relationship Id="rId10" Type="http://schemas.openxmlformats.org/officeDocument/2006/relationships/drawing" Target="../drawings/drawing2.xml"/><Relationship Id="rId4" Type="http://schemas.openxmlformats.org/officeDocument/2006/relationships/hyperlink" Target="https://www.inmuebles24.com/propiedades/clasificado/veclcain-venta-casa-en-temoaya-cerca-de-metepec-148620286.html?n_src=Listado&amp;n_pills=Cocina+integral&amp;n_pg=1&amp;n_pos=14" TargetMode="External"/><Relationship Id="rId9"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hyperlink" Target="https://www.homedepot.com.mx/p/carga-completa-de-arena-6m3-202860" TargetMode="External"/><Relationship Id="rId13" Type="http://schemas.openxmlformats.org/officeDocument/2006/relationships/hyperlink" Target="https://www.homedepot.com.mx/p/carga-block-1200pz-15x20x40-2h-151469" TargetMode="External"/><Relationship Id="rId18" Type="http://schemas.openxmlformats.org/officeDocument/2006/relationships/hyperlink" Target="https://www.homedepot.com.mx/p/carga-completa-de-arena-6m3-202860" TargetMode="External"/><Relationship Id="rId3" Type="http://schemas.openxmlformats.org/officeDocument/2006/relationships/hyperlink" Target="https://www.homedepot.com.mx/p/carga-completa-de-grava-6m3-202879" TargetMode="External"/><Relationship Id="rId21" Type="http://schemas.openxmlformats.org/officeDocument/2006/relationships/printerSettings" Target="../printerSettings/printerSettings3.bin"/><Relationship Id="rId7" Type="http://schemas.openxmlformats.org/officeDocument/2006/relationships/hyperlink" Target="https://www.homedepot.com.mx/p/cemex-cemento-extra-gris-cemex-25-kg-cpc-30r-rs-457420?msockid=3c140443a2a46d2e3ca81779a3966c9b" TargetMode="External"/><Relationship Id="rId12" Type="http://schemas.openxmlformats.org/officeDocument/2006/relationships/hyperlink" Target="https://www.homedepot.com.mx/p/varilla-corrugada-recta-grado-6000-1-4-1-tonelada-6000-268017?msockid=3c140443a2a46d2e3ca81779a3966c9b" TargetMode="External"/><Relationship Id="rId17" Type="http://schemas.openxmlformats.org/officeDocument/2006/relationships/hyperlink" Target="https://www.homedepot.com.mx/p/cemex-cemento-extra-gris-cemex-25-kg-cpc-30r-rs-457420?msockid=3c140443a2a46d2e3ca81779a3966c9b" TargetMode="External"/><Relationship Id="rId2" Type="http://schemas.openxmlformats.org/officeDocument/2006/relationships/hyperlink" Target="https://www.homedepot.com.mx/p/carga-completa-de-arena-6m3-202860" TargetMode="External"/><Relationship Id="rId16" Type="http://schemas.openxmlformats.org/officeDocument/2006/relationships/hyperlink" Target="https://www.homedepot.com.mx/p/carga-completa-de-arena-6m3-202860" TargetMode="External"/><Relationship Id="rId20" Type="http://schemas.openxmlformats.org/officeDocument/2006/relationships/hyperlink" Target="https://www.homedepot.com.mx/p/varilla-corrugada-recta-r-42-3-8-12-metros-1-tonelada-r42-177788" TargetMode="External"/><Relationship Id="rId1" Type="http://schemas.openxmlformats.org/officeDocument/2006/relationships/hyperlink" Target="https://www.homedepot.com.mx/p/cemex-cemento-extra-gris-cemex-25-kg-cpc-30r-rs-457420?msockid=3c140443a2a46d2e3ca81779a3966c9b" TargetMode="External"/><Relationship Id="rId6" Type="http://schemas.openxmlformats.org/officeDocument/2006/relationships/hyperlink" Target="https://www.homedepot.com.mx/p/tabla-de-pino-para-cimbra-1-x-6-x-8-137526-137526" TargetMode="External"/><Relationship Id="rId11" Type="http://schemas.openxmlformats.org/officeDocument/2006/relationships/hyperlink" Target="https://www.homedepot.com.mx/p/alambre-de-acero-recocido-cal-16-de-159-mm-o-0062-pulgadas-venta-por-kilo-calibre-16-462843" TargetMode="External"/><Relationship Id="rId24" Type="http://schemas.openxmlformats.org/officeDocument/2006/relationships/comments" Target="../comments2.xml"/><Relationship Id="rId5" Type="http://schemas.openxmlformats.org/officeDocument/2006/relationships/hyperlink" Target="https://www.homedepot.com.mx/p/alambre-de-acero-recocido-cal-16-de-159-mm-o-0062-pulgadas-venta-por-kilo-calibre-16-462843" TargetMode="External"/><Relationship Id="rId15" Type="http://schemas.openxmlformats.org/officeDocument/2006/relationships/hyperlink" Target="https://www.homedepot.com.mx/p/cemex-cemento-extra-gris-cemex-25-kg-cpc-30r-rs-457420?msockid=3c140443a2a46d2e3ca81779a3966c9b" TargetMode="External"/><Relationship Id="rId23" Type="http://schemas.openxmlformats.org/officeDocument/2006/relationships/table" Target="../tables/table4.xml"/><Relationship Id="rId10" Type="http://schemas.openxmlformats.org/officeDocument/2006/relationships/hyperlink" Target="https://www.homedepot.com.mx/p/varilla-corrugada-recta-r-42-3-8-12-metros-1-tonelada-r42-177788" TargetMode="External"/><Relationship Id="rId19" Type="http://schemas.openxmlformats.org/officeDocument/2006/relationships/hyperlink" Target="https://www.homedepot.com.mx/p/carga-completa-de-grava-6m3-202879" TargetMode="External"/><Relationship Id="rId4" Type="http://schemas.openxmlformats.org/officeDocument/2006/relationships/hyperlink" Target="https://www.homedepot.com.mx/p/varilla-corrugada-recta-r-42-3-8-12-metros-1-tonelada-r42-177788" TargetMode="External"/><Relationship Id="rId9" Type="http://schemas.openxmlformats.org/officeDocument/2006/relationships/hyperlink" Target="https://www.homedepot.com.mx/p/carga-completa-de-grava-6m3-202879" TargetMode="External"/><Relationship Id="rId14" Type="http://schemas.openxmlformats.org/officeDocument/2006/relationships/hyperlink" Target="https://www.homedepot.com.mx/p/sika-mortero-cementicio-acrilico-para-revestimientos-impermeables-blanco-de-163-kilogramos-800608" TargetMode="External"/><Relationship Id="rId22"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topLeftCell="B1" workbookViewId="0">
      <selection activeCell="B23" sqref="B23"/>
    </sheetView>
  </sheetViews>
  <sheetFormatPr baseColWidth="10" defaultRowHeight="14" x14ac:dyDescent="0.3"/>
  <cols>
    <col min="1" max="1" width="21.9140625" customWidth="1"/>
    <col min="2" max="2" width="16.5" customWidth="1"/>
    <col min="3" max="3" width="14.83203125" customWidth="1"/>
    <col min="4" max="4" width="16.4140625" customWidth="1"/>
    <col min="8" max="8" width="10.83203125" customWidth="1"/>
    <col min="10" max="10" width="22.5" customWidth="1"/>
    <col min="11" max="11" width="14.25" customWidth="1"/>
  </cols>
  <sheetData>
    <row r="1" spans="1:11" x14ac:dyDescent="0.3">
      <c r="B1" s="103" t="s">
        <v>512</v>
      </c>
      <c r="C1" s="103"/>
      <c r="D1" s="103"/>
      <c r="H1" s="103" t="s">
        <v>513</v>
      </c>
      <c r="I1" s="103"/>
      <c r="J1" s="103"/>
    </row>
    <row r="2" spans="1:11" x14ac:dyDescent="0.3">
      <c r="B2" s="103"/>
      <c r="C2" s="103"/>
      <c r="D2" s="103"/>
      <c r="H2" s="103"/>
      <c r="I2" s="103"/>
      <c r="J2" s="103"/>
    </row>
    <row r="3" spans="1:11" x14ac:dyDescent="0.3">
      <c r="A3" s="54" t="s">
        <v>449</v>
      </c>
      <c r="B3" s="54" t="s">
        <v>450</v>
      </c>
      <c r="C3" s="54" t="s">
        <v>451</v>
      </c>
      <c r="D3" s="54" t="s">
        <v>452</v>
      </c>
      <c r="H3" s="54" t="s">
        <v>21</v>
      </c>
      <c r="I3" s="54" t="s">
        <v>480</v>
      </c>
      <c r="J3" s="54" t="s">
        <v>481</v>
      </c>
      <c r="K3" s="54" t="s">
        <v>482</v>
      </c>
    </row>
    <row r="4" spans="1:11" ht="42" x14ac:dyDescent="0.3">
      <c r="A4" s="9" t="s">
        <v>453</v>
      </c>
      <c r="B4" s="9" t="s">
        <v>454</v>
      </c>
      <c r="C4" s="9" t="s">
        <v>455</v>
      </c>
      <c r="D4" s="9" t="s">
        <v>392</v>
      </c>
      <c r="H4" s="9" t="s">
        <v>483</v>
      </c>
      <c r="I4" s="9" t="s">
        <v>484</v>
      </c>
      <c r="J4" s="9" t="s">
        <v>363</v>
      </c>
      <c r="K4" s="9" t="s">
        <v>467</v>
      </c>
    </row>
    <row r="5" spans="1:11" ht="56" x14ac:dyDescent="0.3">
      <c r="A5" s="9" t="s">
        <v>456</v>
      </c>
      <c r="B5" s="9" t="s">
        <v>457</v>
      </c>
      <c r="C5" s="9" t="s">
        <v>458</v>
      </c>
      <c r="D5" s="9" t="s">
        <v>392</v>
      </c>
      <c r="H5" s="9" t="s">
        <v>485</v>
      </c>
      <c r="I5" s="9" t="s">
        <v>486</v>
      </c>
      <c r="J5" s="9" t="s">
        <v>487</v>
      </c>
      <c r="K5" s="9" t="s">
        <v>467</v>
      </c>
    </row>
    <row r="6" spans="1:11" ht="56" x14ac:dyDescent="0.3">
      <c r="A6" s="9" t="s">
        <v>459</v>
      </c>
      <c r="B6" s="9" t="s">
        <v>454</v>
      </c>
      <c r="C6" s="9" t="s">
        <v>460</v>
      </c>
      <c r="D6" s="9" t="s">
        <v>392</v>
      </c>
      <c r="H6" s="9" t="s">
        <v>488</v>
      </c>
      <c r="I6" s="9" t="s">
        <v>489</v>
      </c>
      <c r="J6" s="9" t="s">
        <v>490</v>
      </c>
      <c r="K6" s="9" t="s">
        <v>467</v>
      </c>
    </row>
    <row r="7" spans="1:11" ht="70" x14ac:dyDescent="0.3">
      <c r="A7" s="9" t="s">
        <v>461</v>
      </c>
      <c r="B7" s="9" t="s">
        <v>454</v>
      </c>
      <c r="C7" s="9" t="s">
        <v>462</v>
      </c>
      <c r="D7" s="9" t="s">
        <v>392</v>
      </c>
      <c r="H7" s="9" t="s">
        <v>491</v>
      </c>
      <c r="I7" s="9" t="s">
        <v>492</v>
      </c>
      <c r="J7" s="9" t="s">
        <v>493</v>
      </c>
      <c r="K7" s="9" t="s">
        <v>467</v>
      </c>
    </row>
    <row r="8" spans="1:11" ht="28" x14ac:dyDescent="0.3">
      <c r="A8" s="9" t="s">
        <v>463</v>
      </c>
      <c r="B8" s="9" t="s">
        <v>464</v>
      </c>
      <c r="C8" s="9" t="s">
        <v>465</v>
      </c>
      <c r="D8" s="9" t="s">
        <v>392</v>
      </c>
      <c r="H8" s="9" t="s">
        <v>469</v>
      </c>
      <c r="I8" s="9" t="s">
        <v>494</v>
      </c>
      <c r="J8" s="9" t="s">
        <v>495</v>
      </c>
      <c r="K8" s="9" t="s">
        <v>467</v>
      </c>
    </row>
    <row r="9" spans="1:11" ht="42" x14ac:dyDescent="0.3">
      <c r="A9" s="9" t="s">
        <v>466</v>
      </c>
      <c r="B9" s="9" t="s">
        <v>467</v>
      </c>
      <c r="C9" s="9" t="s">
        <v>468</v>
      </c>
      <c r="D9" s="9" t="s">
        <v>392</v>
      </c>
      <c r="H9" s="9" t="s">
        <v>496</v>
      </c>
      <c r="I9" s="9" t="s">
        <v>497</v>
      </c>
      <c r="J9" s="9" t="s">
        <v>498</v>
      </c>
      <c r="K9" s="9" t="s">
        <v>467</v>
      </c>
    </row>
    <row r="10" spans="1:11" ht="42" x14ac:dyDescent="0.3">
      <c r="A10" s="9" t="s">
        <v>469</v>
      </c>
      <c r="B10" s="9" t="s">
        <v>470</v>
      </c>
      <c r="C10" s="9" t="s">
        <v>471</v>
      </c>
      <c r="D10" s="9" t="s">
        <v>392</v>
      </c>
      <c r="H10" s="9" t="s">
        <v>499</v>
      </c>
      <c r="I10" s="9" t="s">
        <v>500</v>
      </c>
      <c r="J10" s="9" t="s">
        <v>501</v>
      </c>
      <c r="K10" s="9" t="s">
        <v>467</v>
      </c>
    </row>
    <row r="11" spans="1:11" ht="42" x14ac:dyDescent="0.3">
      <c r="A11" s="9" t="s">
        <v>472</v>
      </c>
      <c r="B11" s="9" t="s">
        <v>464</v>
      </c>
      <c r="C11" s="9" t="s">
        <v>473</v>
      </c>
      <c r="D11" s="9" t="s">
        <v>392</v>
      </c>
      <c r="H11" s="9" t="s">
        <v>502</v>
      </c>
      <c r="I11" s="9" t="s">
        <v>503</v>
      </c>
      <c r="J11" s="9" t="s">
        <v>504</v>
      </c>
      <c r="K11" s="9" t="s">
        <v>467</v>
      </c>
    </row>
    <row r="12" spans="1:11" ht="28" x14ac:dyDescent="0.3">
      <c r="A12" s="9" t="s">
        <v>474</v>
      </c>
      <c r="B12" s="9" t="s">
        <v>475</v>
      </c>
      <c r="C12" s="9" t="s">
        <v>476</v>
      </c>
      <c r="D12" s="9" t="s">
        <v>477</v>
      </c>
      <c r="H12" s="9" t="s">
        <v>505</v>
      </c>
      <c r="I12" s="9" t="s">
        <v>506</v>
      </c>
      <c r="J12" s="9" t="s">
        <v>507</v>
      </c>
      <c r="K12" s="9" t="s">
        <v>508</v>
      </c>
    </row>
    <row r="13" spans="1:11" ht="42" x14ac:dyDescent="0.3">
      <c r="A13" s="9" t="s">
        <v>18</v>
      </c>
      <c r="B13" s="9" t="s">
        <v>15</v>
      </c>
      <c r="C13" s="9" t="s">
        <v>478</v>
      </c>
      <c r="D13" s="9" t="s">
        <v>479</v>
      </c>
      <c r="H13" s="9" t="s">
        <v>509</v>
      </c>
      <c r="I13" s="9" t="s">
        <v>510</v>
      </c>
      <c r="J13" s="9" t="s">
        <v>363</v>
      </c>
      <c r="K13" s="9" t="s">
        <v>511</v>
      </c>
    </row>
  </sheetData>
  <mergeCells count="2">
    <mergeCell ref="B1:D2"/>
    <mergeCell ref="H1:J2"/>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79"/>
  <sheetViews>
    <sheetView topLeftCell="A55" zoomScale="60" zoomScaleNormal="70" workbookViewId="0">
      <selection activeCell="A12" sqref="A12"/>
    </sheetView>
  </sheetViews>
  <sheetFormatPr baseColWidth="10" defaultRowHeight="14" x14ac:dyDescent="0.3"/>
  <cols>
    <col min="1" max="1" width="23.9140625" bestFit="1" customWidth="1"/>
    <col min="2" max="2" width="21.33203125" style="9" bestFit="1" customWidth="1"/>
    <col min="3" max="3" width="15.33203125" style="15" customWidth="1"/>
    <col min="4" max="4" width="16.75" style="15" bestFit="1" customWidth="1"/>
    <col min="5" max="5" width="10.6640625" style="9"/>
    <col min="6" max="6" width="22" style="9" bestFit="1" customWidth="1"/>
    <col min="7" max="7" width="26.83203125" style="9" customWidth="1"/>
    <col min="8" max="10" width="10.6640625" style="9"/>
    <col min="11" max="11" width="11.5" bestFit="1" customWidth="1"/>
  </cols>
  <sheetData>
    <row r="1" spans="1:11" x14ac:dyDescent="0.3">
      <c r="A1" s="104" t="s">
        <v>0</v>
      </c>
      <c r="B1" s="105"/>
      <c r="C1" s="105"/>
      <c r="D1" s="105"/>
      <c r="E1" s="105"/>
      <c r="F1" s="105"/>
      <c r="G1" s="105"/>
      <c r="H1" s="105"/>
      <c r="I1" s="105"/>
      <c r="J1" s="105"/>
      <c r="K1" s="105"/>
    </row>
    <row r="3" spans="1:11" ht="15.5" x14ac:dyDescent="0.35">
      <c r="A3" s="2" t="s">
        <v>1</v>
      </c>
    </row>
    <row r="4" spans="1:11" x14ac:dyDescent="0.3">
      <c r="A4" s="106" t="s">
        <v>2</v>
      </c>
      <c r="B4" s="105"/>
      <c r="C4" s="105"/>
      <c r="D4" s="105"/>
      <c r="E4" s="105"/>
      <c r="F4" s="105"/>
      <c r="G4" s="105"/>
      <c r="H4" s="105"/>
      <c r="I4" s="105"/>
      <c r="J4" s="105"/>
      <c r="K4" s="105"/>
    </row>
    <row r="5" spans="1:11" x14ac:dyDescent="0.3">
      <c r="A5" s="105"/>
      <c r="B5" s="105"/>
      <c r="C5" s="105"/>
      <c r="D5" s="105"/>
      <c r="E5" s="105"/>
      <c r="F5" s="105"/>
      <c r="G5" s="105"/>
      <c r="H5" s="105"/>
      <c r="I5" s="105"/>
      <c r="J5" s="105"/>
      <c r="K5" s="105"/>
    </row>
    <row r="6" spans="1:11" x14ac:dyDescent="0.3">
      <c r="A6" s="105"/>
      <c r="B6" s="105"/>
      <c r="C6" s="105"/>
      <c r="D6" s="105"/>
      <c r="E6" s="105"/>
      <c r="F6" s="105"/>
      <c r="G6" s="105"/>
      <c r="H6" s="105"/>
      <c r="I6" s="105"/>
      <c r="J6" s="105"/>
      <c r="K6" s="105"/>
    </row>
    <row r="8" spans="1:11" ht="15.5" x14ac:dyDescent="0.35">
      <c r="A8" s="2" t="s">
        <v>3</v>
      </c>
    </row>
    <row r="9" spans="1:11" x14ac:dyDescent="0.3">
      <c r="A9" t="s">
        <v>4</v>
      </c>
      <c r="B9" s="9" t="s">
        <v>5</v>
      </c>
    </row>
    <row r="10" spans="1:11" ht="28" x14ac:dyDescent="0.3">
      <c r="A10" s="6" t="s">
        <v>6</v>
      </c>
      <c r="B10" s="9" t="s">
        <v>7</v>
      </c>
    </row>
    <row r="11" spans="1:11" x14ac:dyDescent="0.3">
      <c r="A11" t="s">
        <v>8</v>
      </c>
      <c r="B11" s="9" t="s">
        <v>9</v>
      </c>
    </row>
    <row r="13" spans="1:11" ht="15.5" x14ac:dyDescent="0.35">
      <c r="A13" s="2" t="s">
        <v>10</v>
      </c>
    </row>
    <row r="14" spans="1:11" ht="14.5" x14ac:dyDescent="0.3">
      <c r="A14" s="3" t="s">
        <v>11</v>
      </c>
      <c r="B14" s="3" t="s">
        <v>12</v>
      </c>
      <c r="C14" s="10" t="s">
        <v>13</v>
      </c>
      <c r="D14" s="10" t="s">
        <v>14</v>
      </c>
      <c r="E14" s="3" t="s">
        <v>15</v>
      </c>
      <c r="F14" s="3" t="s">
        <v>16</v>
      </c>
      <c r="G14" s="3" t="s">
        <v>17</v>
      </c>
      <c r="H14" s="3" t="s">
        <v>18</v>
      </c>
      <c r="I14" s="3" t="s">
        <v>19</v>
      </c>
      <c r="J14" s="8" t="s">
        <v>40</v>
      </c>
    </row>
    <row r="15" spans="1:11" s="9" customFormat="1" ht="83.5" customHeight="1" x14ac:dyDescent="0.3">
      <c r="A15" s="9">
        <v>1</v>
      </c>
      <c r="B15" s="9" t="s">
        <v>95</v>
      </c>
      <c r="C15" s="15">
        <v>245000</v>
      </c>
      <c r="D15" s="15">
        <v>1802</v>
      </c>
      <c r="E15" s="9" t="s">
        <v>42</v>
      </c>
      <c r="F15" s="26" t="s">
        <v>96</v>
      </c>
      <c r="G15" s="28" t="s">
        <v>97</v>
      </c>
      <c r="H15" s="9" t="s">
        <v>39</v>
      </c>
      <c r="I15" s="7" t="s">
        <v>98</v>
      </c>
      <c r="J15" s="9" t="s">
        <v>94</v>
      </c>
    </row>
    <row r="16" spans="1:11" s="9" customFormat="1" ht="73" customHeight="1" x14ac:dyDescent="0.3">
      <c r="A16" s="101">
        <v>2</v>
      </c>
      <c r="B16" s="9" t="s">
        <v>47</v>
      </c>
      <c r="C16" s="15">
        <v>260000</v>
      </c>
      <c r="D16" s="15">
        <v>2000</v>
      </c>
      <c r="E16" s="9" t="s">
        <v>42</v>
      </c>
      <c r="F16" s="17" t="s">
        <v>48</v>
      </c>
      <c r="G16" s="19" t="s">
        <v>49</v>
      </c>
      <c r="H16" s="9" t="s">
        <v>39</v>
      </c>
      <c r="I16" s="14" t="s">
        <v>50</v>
      </c>
      <c r="J16" s="9" t="s">
        <v>51</v>
      </c>
    </row>
    <row r="17" spans="1:11" s="9" customFormat="1" ht="66" customHeight="1" x14ac:dyDescent="0.3">
      <c r="A17" s="101">
        <v>3</v>
      </c>
      <c r="B17" s="9" t="s">
        <v>41</v>
      </c>
      <c r="C17" s="15">
        <v>300000</v>
      </c>
      <c r="D17" s="15">
        <v>2083.33</v>
      </c>
      <c r="E17" s="9" t="s">
        <v>42</v>
      </c>
      <c r="F17" s="12" t="s">
        <v>43</v>
      </c>
      <c r="G17" s="16" t="s">
        <v>44</v>
      </c>
      <c r="H17" s="9" t="s">
        <v>39</v>
      </c>
      <c r="I17" s="14" t="s">
        <v>45</v>
      </c>
      <c r="J17" s="9" t="s">
        <v>46</v>
      </c>
      <c r="K17" s="21"/>
    </row>
    <row r="18" spans="1:11" s="9" customFormat="1" ht="84" x14ac:dyDescent="0.3">
      <c r="A18" s="101">
        <v>4</v>
      </c>
      <c r="B18" s="9" t="s">
        <v>105</v>
      </c>
      <c r="C18" s="15">
        <v>468000</v>
      </c>
      <c r="D18" s="15">
        <v>2600</v>
      </c>
      <c r="E18" s="9" t="s">
        <v>42</v>
      </c>
      <c r="F18" s="26" t="s">
        <v>106</v>
      </c>
      <c r="G18" s="19" t="s">
        <v>107</v>
      </c>
      <c r="H18" s="9" t="s">
        <v>102</v>
      </c>
      <c r="I18" s="7" t="s">
        <v>108</v>
      </c>
      <c r="J18" s="9" t="s">
        <v>104</v>
      </c>
    </row>
    <row r="19" spans="1:11" s="9" customFormat="1" ht="90.5" customHeight="1" x14ac:dyDescent="0.3">
      <c r="A19" s="101">
        <v>5</v>
      </c>
      <c r="B19" s="9" t="s">
        <v>66</v>
      </c>
      <c r="C19" s="15">
        <v>470000</v>
      </c>
      <c r="D19" s="15">
        <v>2350</v>
      </c>
      <c r="E19" s="9" t="s">
        <v>42</v>
      </c>
      <c r="F19" s="26" t="s">
        <v>91</v>
      </c>
      <c r="G19" s="27" t="s">
        <v>92</v>
      </c>
      <c r="H19" s="9" t="s">
        <v>39</v>
      </c>
      <c r="I19" s="7" t="s">
        <v>93</v>
      </c>
      <c r="J19" s="9" t="s">
        <v>90</v>
      </c>
    </row>
    <row r="20" spans="1:11" s="9" customFormat="1" ht="68" customHeight="1" x14ac:dyDescent="0.3">
      <c r="A20" s="101">
        <v>6</v>
      </c>
      <c r="B20" s="9" t="s">
        <v>57</v>
      </c>
      <c r="C20" s="15">
        <v>500000</v>
      </c>
      <c r="D20" s="15">
        <v>3333.33</v>
      </c>
      <c r="E20" s="9" t="s">
        <v>42</v>
      </c>
      <c r="F20" s="9" t="s">
        <v>62</v>
      </c>
      <c r="G20" s="19" t="s">
        <v>63</v>
      </c>
      <c r="H20" s="9" t="s">
        <v>39</v>
      </c>
      <c r="I20" s="7" t="s">
        <v>64</v>
      </c>
      <c r="J20" s="9" t="s">
        <v>65</v>
      </c>
    </row>
    <row r="21" spans="1:11" s="9" customFormat="1" ht="50" customHeight="1" x14ac:dyDescent="0.3">
      <c r="A21" s="101">
        <v>7</v>
      </c>
      <c r="B21" s="9" t="s">
        <v>75</v>
      </c>
      <c r="C21" s="15">
        <v>625000</v>
      </c>
      <c r="D21" s="15">
        <v>3125</v>
      </c>
      <c r="E21" s="9" t="s">
        <v>38</v>
      </c>
      <c r="F21" s="24" t="s">
        <v>76</v>
      </c>
      <c r="G21" s="19" t="s">
        <v>77</v>
      </c>
      <c r="H21" s="9" t="s">
        <v>39</v>
      </c>
      <c r="I21" s="7" t="s">
        <v>78</v>
      </c>
      <c r="J21" s="9" t="s">
        <v>79</v>
      </c>
    </row>
    <row r="22" spans="1:11" s="9" customFormat="1" ht="50.5" customHeight="1" x14ac:dyDescent="0.3">
      <c r="A22" s="101">
        <v>8</v>
      </c>
      <c r="B22" s="9" t="s">
        <v>66</v>
      </c>
      <c r="C22" s="15">
        <v>650000</v>
      </c>
      <c r="D22" s="15">
        <v>3250</v>
      </c>
      <c r="E22" s="9" t="s">
        <v>42</v>
      </c>
      <c r="F22" s="9" t="s">
        <v>67</v>
      </c>
      <c r="G22" s="9" t="s">
        <v>68</v>
      </c>
      <c r="H22" s="9" t="s">
        <v>39</v>
      </c>
      <c r="I22" s="7" t="s">
        <v>69</v>
      </c>
      <c r="J22" s="9" t="s">
        <v>70</v>
      </c>
    </row>
    <row r="23" spans="1:11" s="9" customFormat="1" ht="80.5" customHeight="1" x14ac:dyDescent="0.3">
      <c r="A23" s="101">
        <v>9</v>
      </c>
      <c r="B23" s="9" t="s">
        <v>66</v>
      </c>
      <c r="C23" s="15">
        <v>695000</v>
      </c>
      <c r="D23" s="15">
        <v>3475</v>
      </c>
      <c r="E23" s="9" t="s">
        <v>42</v>
      </c>
      <c r="F23" s="9" t="s">
        <v>71</v>
      </c>
      <c r="G23" s="22" t="s">
        <v>72</v>
      </c>
      <c r="H23" s="9" t="s">
        <v>39</v>
      </c>
      <c r="I23" s="7" t="s">
        <v>73</v>
      </c>
      <c r="J23" s="9" t="s">
        <v>74</v>
      </c>
    </row>
    <row r="24" spans="1:11" s="9" customFormat="1" ht="62.5" customHeight="1" x14ac:dyDescent="0.3">
      <c r="A24" s="101">
        <v>10</v>
      </c>
      <c r="B24" s="9" t="s">
        <v>57</v>
      </c>
      <c r="C24" s="15">
        <v>720000</v>
      </c>
      <c r="D24" s="15">
        <v>4800</v>
      </c>
      <c r="E24" s="9" t="s">
        <v>38</v>
      </c>
      <c r="F24" s="11" t="s">
        <v>59</v>
      </c>
      <c r="G24" s="18" t="s">
        <v>60</v>
      </c>
      <c r="H24" s="9" t="s">
        <v>39</v>
      </c>
      <c r="I24" s="14" t="s">
        <v>61</v>
      </c>
      <c r="J24" s="13" t="s">
        <v>58</v>
      </c>
    </row>
    <row r="25" spans="1:11" s="9" customFormat="1" ht="83.5" customHeight="1" x14ac:dyDescent="0.3">
      <c r="A25" s="101">
        <v>11</v>
      </c>
      <c r="B25" s="9" t="s">
        <v>52</v>
      </c>
      <c r="C25" s="15">
        <v>803000</v>
      </c>
      <c r="D25" s="15">
        <v>5500</v>
      </c>
      <c r="E25" s="9" t="s">
        <v>42</v>
      </c>
      <c r="F25" s="17" t="s">
        <v>53</v>
      </c>
      <c r="G25" s="19" t="s">
        <v>54</v>
      </c>
      <c r="H25" s="9" t="s">
        <v>39</v>
      </c>
      <c r="I25" s="14" t="s">
        <v>55</v>
      </c>
      <c r="J25" s="9" t="s">
        <v>56</v>
      </c>
    </row>
    <row r="26" spans="1:11" s="9" customFormat="1" ht="69.5" customHeight="1" x14ac:dyDescent="0.3">
      <c r="A26" s="101">
        <v>12</v>
      </c>
      <c r="B26" s="9" t="s">
        <v>66</v>
      </c>
      <c r="C26" s="15">
        <v>2244600</v>
      </c>
      <c r="D26" s="15">
        <v>11223</v>
      </c>
      <c r="E26" s="9" t="s">
        <v>38</v>
      </c>
      <c r="F26" s="26" t="s">
        <v>100</v>
      </c>
      <c r="G26" s="28" t="s">
        <v>101</v>
      </c>
      <c r="H26" s="9" t="s">
        <v>102</v>
      </c>
      <c r="I26" s="7" t="s">
        <v>103</v>
      </c>
      <c r="J26" s="9" t="s">
        <v>99</v>
      </c>
    </row>
    <row r="27" spans="1:11" s="9" customFormat="1" ht="72.5" customHeight="1" x14ac:dyDescent="0.3">
      <c r="A27" s="101">
        <v>13</v>
      </c>
      <c r="B27" s="9" t="s">
        <v>80</v>
      </c>
      <c r="C27" s="15">
        <v>2250000</v>
      </c>
      <c r="D27" s="15">
        <v>9375</v>
      </c>
      <c r="E27" s="9" t="s">
        <v>42</v>
      </c>
      <c r="F27" s="9" t="s">
        <v>81</v>
      </c>
      <c r="G27" s="19" t="s">
        <v>82</v>
      </c>
      <c r="H27" s="9" t="s">
        <v>39</v>
      </c>
      <c r="I27" s="7" t="s">
        <v>83</v>
      </c>
      <c r="J27" s="9" t="s">
        <v>84</v>
      </c>
    </row>
    <row r="28" spans="1:11" s="9" customFormat="1" ht="37" customHeight="1" x14ac:dyDescent="0.3">
      <c r="A28" s="101">
        <v>14</v>
      </c>
      <c r="B28" s="9" t="s">
        <v>85</v>
      </c>
      <c r="C28" s="15">
        <v>2550000</v>
      </c>
      <c r="D28" s="15">
        <v>12686</v>
      </c>
      <c r="E28" s="9" t="s">
        <v>38</v>
      </c>
      <c r="F28" s="26" t="s">
        <v>86</v>
      </c>
      <c r="G28" s="18" t="s">
        <v>87</v>
      </c>
      <c r="H28" s="9" t="s">
        <v>39</v>
      </c>
      <c r="I28" s="7" t="s">
        <v>88</v>
      </c>
      <c r="J28" s="9" t="s">
        <v>89</v>
      </c>
    </row>
    <row r="29" spans="1:11" s="9" customFormat="1" ht="104.5" customHeight="1" x14ac:dyDescent="0.3">
      <c r="A29" s="101">
        <v>15</v>
      </c>
      <c r="B29" s="9" t="s">
        <v>66</v>
      </c>
      <c r="C29" s="15">
        <v>500000</v>
      </c>
      <c r="D29" s="15">
        <v>2500</v>
      </c>
      <c r="E29" s="9" t="s">
        <v>42</v>
      </c>
      <c r="F29" s="93" t="s">
        <v>430</v>
      </c>
      <c r="G29" s="18" t="s">
        <v>429</v>
      </c>
      <c r="H29" s="9" t="s">
        <v>431</v>
      </c>
      <c r="I29" s="7" t="s">
        <v>432</v>
      </c>
      <c r="J29" s="9" t="s">
        <v>433</v>
      </c>
    </row>
    <row r="30" spans="1:11" s="9" customFormat="1" ht="187.5" x14ac:dyDescent="0.25">
      <c r="A30" s="101">
        <v>16</v>
      </c>
      <c r="B30" s="9" t="s">
        <v>435</v>
      </c>
      <c r="C30" s="15">
        <v>870000</v>
      </c>
      <c r="D30" s="15">
        <v>6542</v>
      </c>
      <c r="E30" s="9" t="s">
        <v>42</v>
      </c>
      <c r="F30" s="94" t="s">
        <v>436</v>
      </c>
      <c r="G30" s="95" t="s">
        <v>437</v>
      </c>
      <c r="H30" s="9" t="s">
        <v>431</v>
      </c>
      <c r="I30" s="82" t="s">
        <v>438</v>
      </c>
      <c r="J30" s="9" t="s">
        <v>434</v>
      </c>
    </row>
    <row r="31" spans="1:11" s="9" customFormat="1" ht="140" x14ac:dyDescent="0.3">
      <c r="A31" s="101">
        <v>17</v>
      </c>
      <c r="B31" s="9" t="s">
        <v>439</v>
      </c>
      <c r="C31" s="15">
        <v>850000</v>
      </c>
      <c r="D31" s="15">
        <v>4066</v>
      </c>
      <c r="E31" s="9" t="s">
        <v>42</v>
      </c>
      <c r="F31" s="96" t="s">
        <v>440</v>
      </c>
      <c r="G31" s="20" t="s">
        <v>441</v>
      </c>
      <c r="H31" s="9" t="s">
        <v>431</v>
      </c>
      <c r="I31" s="7" t="s">
        <v>442</v>
      </c>
      <c r="J31" s="9" t="s">
        <v>443</v>
      </c>
    </row>
    <row r="32" spans="1:11" s="9" customFormat="1" ht="112" x14ac:dyDescent="0.3">
      <c r="A32" s="101">
        <v>18</v>
      </c>
      <c r="B32" s="9" t="s">
        <v>66</v>
      </c>
      <c r="C32" s="15">
        <v>700000</v>
      </c>
      <c r="D32" s="15">
        <v>3500</v>
      </c>
      <c r="E32" s="9" t="s">
        <v>42</v>
      </c>
      <c r="F32" s="97" t="s">
        <v>445</v>
      </c>
      <c r="G32" s="98" t="s">
        <v>446</v>
      </c>
      <c r="H32" s="9" t="s">
        <v>447</v>
      </c>
      <c r="I32" s="7" t="s">
        <v>444</v>
      </c>
      <c r="J32" s="9" t="s">
        <v>448</v>
      </c>
    </row>
    <row r="33" spans="1:12" s="9" customFormat="1" ht="112" x14ac:dyDescent="0.3">
      <c r="A33" s="101">
        <v>19</v>
      </c>
      <c r="B33" s="9" t="s">
        <v>66</v>
      </c>
      <c r="C33" s="15">
        <v>415000</v>
      </c>
      <c r="D33" s="15">
        <v>2075</v>
      </c>
      <c r="E33" s="9" t="s">
        <v>42</v>
      </c>
      <c r="F33" s="99" t="s">
        <v>514</v>
      </c>
      <c r="G33" s="13" t="s">
        <v>515</v>
      </c>
      <c r="H33" s="9" t="s">
        <v>431</v>
      </c>
      <c r="I33" s="7" t="s">
        <v>516</v>
      </c>
      <c r="J33" s="9" t="s">
        <v>517</v>
      </c>
    </row>
    <row r="34" spans="1:12" s="9" customFormat="1" ht="140" customHeight="1" x14ac:dyDescent="0.3">
      <c r="A34" s="101">
        <v>20</v>
      </c>
      <c r="B34" s="9" t="s">
        <v>518</v>
      </c>
      <c r="C34" s="90">
        <v>900000</v>
      </c>
      <c r="D34" s="15">
        <v>3000</v>
      </c>
      <c r="E34" s="9" t="s">
        <v>42</v>
      </c>
      <c r="F34" s="100" t="s">
        <v>519</v>
      </c>
      <c r="G34" s="13" t="s">
        <v>520</v>
      </c>
      <c r="H34" s="9" t="s">
        <v>431</v>
      </c>
      <c r="I34" s="7" t="s">
        <v>521</v>
      </c>
      <c r="J34" s="9" t="s">
        <v>522</v>
      </c>
    </row>
    <row r="35" spans="1:12" s="9" customFormat="1" ht="140" customHeight="1" x14ac:dyDescent="0.3">
      <c r="A35" s="101">
        <v>21</v>
      </c>
      <c r="B35" s="9" t="s">
        <v>524</v>
      </c>
      <c r="C35" s="90">
        <v>992160</v>
      </c>
      <c r="D35" s="15">
        <v>8000</v>
      </c>
      <c r="E35" s="9" t="s">
        <v>42</v>
      </c>
      <c r="F35" s="100" t="s">
        <v>525</v>
      </c>
      <c r="G35" s="13" t="s">
        <v>526</v>
      </c>
      <c r="H35" s="9" t="s">
        <v>431</v>
      </c>
      <c r="I35" s="7" t="s">
        <v>527</v>
      </c>
      <c r="J35" s="9" t="s">
        <v>523</v>
      </c>
    </row>
    <row r="36" spans="1:12" s="9" customFormat="1" ht="140" customHeight="1" x14ac:dyDescent="0.3">
      <c r="A36" s="101">
        <v>22</v>
      </c>
      <c r="B36" s="9" t="s">
        <v>52</v>
      </c>
      <c r="C36" s="90">
        <v>803000</v>
      </c>
      <c r="D36" s="15">
        <v>5500</v>
      </c>
      <c r="E36" s="9" t="s">
        <v>42</v>
      </c>
      <c r="F36" s="100" t="s">
        <v>53</v>
      </c>
      <c r="G36" s="13" t="s">
        <v>529</v>
      </c>
      <c r="H36" s="9" t="s">
        <v>447</v>
      </c>
      <c r="I36" s="7" t="s">
        <v>530</v>
      </c>
      <c r="J36" s="9" t="s">
        <v>528</v>
      </c>
    </row>
    <row r="37" spans="1:12" s="9" customFormat="1" ht="140" customHeight="1" x14ac:dyDescent="0.3">
      <c r="A37" s="101"/>
      <c r="C37" s="90"/>
      <c r="D37" s="15"/>
      <c r="F37" s="112"/>
      <c r="I37" s="7"/>
    </row>
    <row r="38" spans="1:12" s="9" customFormat="1" ht="140" customHeight="1" x14ac:dyDescent="0.3">
      <c r="A38" s="101"/>
      <c r="C38" s="90"/>
      <c r="D38" s="15"/>
      <c r="F38" s="100"/>
      <c r="G38" s="13"/>
      <c r="I38" s="7"/>
    </row>
    <row r="39" spans="1:12" s="9" customFormat="1" ht="140" customHeight="1" x14ac:dyDescent="0.3">
      <c r="C39" s="90"/>
      <c r="D39" s="15"/>
      <c r="F39" s="100"/>
      <c r="G39" s="102"/>
      <c r="I39" s="7"/>
    </row>
    <row r="40" spans="1:12" s="9" customFormat="1" ht="37" customHeight="1" x14ac:dyDescent="0.3">
      <c r="C40"/>
      <c r="D40" s="15"/>
      <c r="F40" s="26"/>
      <c r="G40" s="18"/>
      <c r="I40" s="7"/>
    </row>
    <row r="41" spans="1:12" s="9" customFormat="1" ht="14.5" x14ac:dyDescent="0.3">
      <c r="A41" s="39" t="s">
        <v>21</v>
      </c>
      <c r="B41" s="39" t="s">
        <v>27</v>
      </c>
      <c r="C41" s="42" t="s">
        <v>28</v>
      </c>
      <c r="D41" s="42" t="s">
        <v>29</v>
      </c>
      <c r="E41" s="39" t="s">
        <v>30</v>
      </c>
      <c r="F41" s="39" t="s">
        <v>31</v>
      </c>
      <c r="G41" s="39" t="s">
        <v>32</v>
      </c>
      <c r="H41" s="39" t="s">
        <v>33</v>
      </c>
      <c r="I41" s="39" t="s">
        <v>34</v>
      </c>
      <c r="J41" s="39" t="s">
        <v>35</v>
      </c>
    </row>
    <row r="42" spans="1:12" ht="15.5" customHeight="1" x14ac:dyDescent="0.3">
      <c r="A42" s="9"/>
      <c r="F42" s="19"/>
      <c r="G42" s="25"/>
    </row>
    <row r="43" spans="1:12" ht="14.5" customHeight="1" x14ac:dyDescent="0.35">
      <c r="A43" s="40" t="s">
        <v>20</v>
      </c>
      <c r="B43" s="41"/>
      <c r="C43" s="34"/>
      <c r="D43" s="34"/>
      <c r="E43" s="41"/>
      <c r="F43" s="41"/>
      <c r="G43" s="43"/>
      <c r="H43" s="41"/>
      <c r="I43" s="41"/>
      <c r="J43" s="41"/>
      <c r="K43" s="4" t="s">
        <v>36</v>
      </c>
      <c r="L43" s="4" t="s">
        <v>37</v>
      </c>
    </row>
    <row r="44" spans="1:12" ht="14.5" x14ac:dyDescent="0.35">
      <c r="A44" s="5" t="s">
        <v>22</v>
      </c>
    </row>
    <row r="45" spans="1:12" s="1" customFormat="1" ht="14.5" x14ac:dyDescent="0.35">
      <c r="A45" s="29" t="s">
        <v>120</v>
      </c>
      <c r="B45" s="15"/>
      <c r="C45" s="15"/>
      <c r="D45" s="15"/>
      <c r="E45" s="9"/>
      <c r="F45" s="9"/>
      <c r="G45" s="9"/>
      <c r="H45" s="9"/>
      <c r="I45" s="9"/>
      <c r="J45" s="9"/>
    </row>
    <row r="46" spans="1:12" s="1" customFormat="1" ht="14.5" x14ac:dyDescent="0.35">
      <c r="A46" s="29" t="s">
        <v>121</v>
      </c>
      <c r="B46" s="9"/>
      <c r="C46" s="15"/>
      <c r="D46" s="15"/>
      <c r="E46" s="9"/>
      <c r="F46" s="9"/>
      <c r="G46" s="9"/>
      <c r="H46" s="9"/>
      <c r="I46" s="9"/>
      <c r="J46" s="9"/>
    </row>
    <row r="47" spans="1:12" ht="14.5" x14ac:dyDescent="0.35">
      <c r="A47" s="5" t="s">
        <v>23</v>
      </c>
    </row>
    <row r="48" spans="1:12" s="1" customFormat="1" ht="14.5" x14ac:dyDescent="0.35">
      <c r="A48" s="29" t="s">
        <v>109</v>
      </c>
      <c r="B48" s="9"/>
      <c r="C48" s="15"/>
      <c r="D48" s="15"/>
      <c r="E48" s="9"/>
      <c r="F48" s="9"/>
      <c r="G48" s="9"/>
      <c r="H48" s="9"/>
      <c r="I48" s="9"/>
      <c r="J48" s="9"/>
    </row>
    <row r="49" spans="1:10" s="1" customFormat="1" ht="14.5" x14ac:dyDescent="0.35">
      <c r="A49" s="29" t="s">
        <v>110</v>
      </c>
      <c r="B49" s="9"/>
      <c r="C49" s="15"/>
      <c r="D49" s="15"/>
      <c r="E49" s="9"/>
      <c r="F49" s="9"/>
      <c r="G49" s="9"/>
      <c r="H49" s="9"/>
      <c r="I49" s="9"/>
      <c r="J49" s="9"/>
    </row>
    <row r="50" spans="1:10" s="1" customFormat="1" ht="14.5" x14ac:dyDescent="0.35">
      <c r="A50" s="29" t="s">
        <v>111</v>
      </c>
      <c r="B50" s="9"/>
      <c r="C50" s="15"/>
      <c r="D50" s="15"/>
      <c r="E50" s="9"/>
      <c r="F50" s="9"/>
      <c r="G50" s="9"/>
      <c r="H50" s="9"/>
      <c r="I50" s="9"/>
      <c r="J50" s="9"/>
    </row>
    <row r="51" spans="1:10" s="1" customFormat="1" ht="14.5" x14ac:dyDescent="0.35">
      <c r="A51" s="29" t="s">
        <v>112</v>
      </c>
      <c r="B51" s="9"/>
      <c r="C51" s="15"/>
      <c r="D51" s="15"/>
      <c r="E51" s="9"/>
      <c r="F51" s="9"/>
      <c r="G51" s="9"/>
      <c r="H51" s="9"/>
      <c r="I51" s="9"/>
      <c r="J51" s="9"/>
    </row>
    <row r="52" spans="1:10" ht="15" customHeight="1" x14ac:dyDescent="0.35">
      <c r="A52" s="5" t="s">
        <v>24</v>
      </c>
    </row>
    <row r="53" spans="1:10" s="32" customFormat="1" ht="15" customHeight="1" x14ac:dyDescent="0.35">
      <c r="A53" s="29" t="s">
        <v>113</v>
      </c>
      <c r="B53" s="30"/>
      <c r="C53" s="31"/>
      <c r="D53" s="31"/>
      <c r="E53" s="30"/>
      <c r="F53" s="30"/>
      <c r="G53" s="30"/>
      <c r="H53" s="30"/>
      <c r="I53" s="30"/>
      <c r="J53" s="30"/>
    </row>
    <row r="54" spans="1:10" s="1" customFormat="1" ht="15" customHeight="1" x14ac:dyDescent="0.35">
      <c r="A54" s="29" t="s">
        <v>114</v>
      </c>
      <c r="B54" s="9"/>
      <c r="C54" s="15"/>
      <c r="D54" s="15"/>
      <c r="E54" s="9"/>
      <c r="F54" s="9"/>
      <c r="G54" s="9"/>
      <c r="H54" s="9"/>
      <c r="I54" s="9"/>
      <c r="J54" s="9"/>
    </row>
    <row r="55" spans="1:10" s="1" customFormat="1" ht="15" customHeight="1" x14ac:dyDescent="0.35">
      <c r="A55" s="29" t="s">
        <v>115</v>
      </c>
      <c r="B55" s="9"/>
      <c r="C55" s="15"/>
      <c r="D55" s="15"/>
      <c r="E55" s="9"/>
      <c r="F55" s="9"/>
      <c r="G55" s="9"/>
      <c r="H55" s="9"/>
      <c r="I55" s="9"/>
      <c r="J55" s="9"/>
    </row>
    <row r="56" spans="1:10" s="1" customFormat="1" ht="14.5" x14ac:dyDescent="0.35">
      <c r="A56" s="29" t="s">
        <v>116</v>
      </c>
      <c r="B56" s="9"/>
      <c r="C56" s="15"/>
      <c r="D56" s="15"/>
      <c r="E56" s="9"/>
      <c r="F56" s="9"/>
      <c r="G56" s="9"/>
      <c r="H56" s="9"/>
      <c r="I56" s="9"/>
      <c r="J56" s="9"/>
    </row>
    <row r="57" spans="1:10" ht="14.5" x14ac:dyDescent="0.35">
      <c r="A57" s="5" t="s">
        <v>25</v>
      </c>
    </row>
    <row r="58" spans="1:10" s="1" customFormat="1" ht="14.5" x14ac:dyDescent="0.35">
      <c r="A58" s="29" t="s">
        <v>117</v>
      </c>
      <c r="B58" s="9"/>
      <c r="C58" s="15"/>
      <c r="D58" s="15"/>
      <c r="E58" s="9"/>
      <c r="F58" s="9"/>
      <c r="G58" s="9"/>
      <c r="H58" s="9"/>
      <c r="I58" s="9"/>
      <c r="J58" s="9"/>
    </row>
    <row r="59" spans="1:10" s="1" customFormat="1" ht="14.5" x14ac:dyDescent="0.35">
      <c r="A59" s="29" t="s">
        <v>118</v>
      </c>
      <c r="B59" s="9"/>
      <c r="C59" s="15"/>
      <c r="D59" s="15"/>
      <c r="E59" s="9"/>
      <c r="F59" s="9"/>
      <c r="G59" s="9"/>
      <c r="H59" s="9"/>
      <c r="I59" s="9"/>
      <c r="J59" s="9"/>
    </row>
    <row r="60" spans="1:10" s="1" customFormat="1" ht="14.5" x14ac:dyDescent="0.35">
      <c r="A60" s="29" t="s">
        <v>119</v>
      </c>
      <c r="B60" s="9"/>
      <c r="C60" s="15"/>
      <c r="D60" s="15"/>
      <c r="E60" s="9"/>
      <c r="F60" s="9"/>
      <c r="G60" s="9"/>
      <c r="H60" s="9"/>
      <c r="I60" s="9"/>
      <c r="J60" s="9"/>
    </row>
    <row r="61" spans="1:10" ht="14.5" x14ac:dyDescent="0.35">
      <c r="A61" s="5" t="s">
        <v>26</v>
      </c>
    </row>
    <row r="62" spans="1:10" x14ac:dyDescent="0.3">
      <c r="B62" s="9" t="s">
        <v>122</v>
      </c>
      <c r="C62" s="37" t="s">
        <v>123</v>
      </c>
      <c r="D62" s="37" t="s">
        <v>124</v>
      </c>
    </row>
    <row r="63" spans="1:10" ht="14.5" x14ac:dyDescent="0.35">
      <c r="B63" s="33" t="s">
        <v>22</v>
      </c>
      <c r="C63" s="34"/>
      <c r="D63" s="34"/>
    </row>
    <row r="64" spans="1:10" ht="14.5" x14ac:dyDescent="0.35">
      <c r="B64" s="35" t="s">
        <v>120</v>
      </c>
      <c r="C64" s="34">
        <v>1600000</v>
      </c>
      <c r="D64" s="34">
        <v>2500000</v>
      </c>
    </row>
    <row r="65" spans="2:7" ht="14.5" x14ac:dyDescent="0.35">
      <c r="B65" s="35" t="s">
        <v>121</v>
      </c>
      <c r="C65" s="34">
        <v>7000</v>
      </c>
      <c r="D65" s="34">
        <v>10000</v>
      </c>
    </row>
    <row r="66" spans="2:7" ht="14.5" x14ac:dyDescent="0.35">
      <c r="B66" s="33" t="s">
        <v>23</v>
      </c>
      <c r="C66" s="34"/>
      <c r="D66" s="34"/>
    </row>
    <row r="67" spans="2:7" ht="14.5" x14ac:dyDescent="0.35">
      <c r="B67" s="35" t="s">
        <v>109</v>
      </c>
      <c r="C67" s="34">
        <v>800000</v>
      </c>
      <c r="D67" s="34">
        <v>1500000</v>
      </c>
      <c r="E67"/>
      <c r="G67" s="1"/>
    </row>
    <row r="68" spans="2:7" ht="14.5" x14ac:dyDescent="0.35">
      <c r="B68" s="35" t="s">
        <v>110</v>
      </c>
      <c r="C68" s="34">
        <v>1000</v>
      </c>
      <c r="D68" s="34">
        <v>50000</v>
      </c>
      <c r="E68"/>
    </row>
    <row r="69" spans="2:7" ht="14.5" x14ac:dyDescent="0.35">
      <c r="B69" s="35" t="s">
        <v>111</v>
      </c>
      <c r="C69" s="34">
        <v>20000</v>
      </c>
      <c r="D69" s="34">
        <v>40000</v>
      </c>
    </row>
    <row r="70" spans="2:7" ht="14.5" x14ac:dyDescent="0.35">
      <c r="B70" s="35" t="s">
        <v>112</v>
      </c>
      <c r="C70" s="34">
        <v>10000</v>
      </c>
      <c r="D70" s="34">
        <v>25000</v>
      </c>
    </row>
    <row r="71" spans="2:7" ht="14.5" x14ac:dyDescent="0.35">
      <c r="B71" s="33" t="s">
        <v>24</v>
      </c>
      <c r="C71" s="34"/>
      <c r="D71" s="34"/>
    </row>
    <row r="72" spans="2:7" ht="14.5" x14ac:dyDescent="0.35">
      <c r="B72" s="35" t="s">
        <v>113</v>
      </c>
      <c r="C72" s="34">
        <v>500000</v>
      </c>
      <c r="D72" s="34">
        <v>700000</v>
      </c>
    </row>
    <row r="73" spans="2:7" ht="14.5" x14ac:dyDescent="0.35">
      <c r="B73" s="35" t="s">
        <v>114</v>
      </c>
      <c r="C73" s="34">
        <v>200000</v>
      </c>
      <c r="D73" s="34">
        <v>300000</v>
      </c>
    </row>
    <row r="74" spans="2:7" ht="14.5" x14ac:dyDescent="0.35">
      <c r="B74" s="35" t="s">
        <v>115</v>
      </c>
      <c r="C74" s="34">
        <v>400000</v>
      </c>
      <c r="D74" s="34">
        <v>500000</v>
      </c>
    </row>
    <row r="75" spans="2:7" ht="14.5" x14ac:dyDescent="0.35">
      <c r="B75" s="35" t="s">
        <v>116</v>
      </c>
      <c r="C75" s="34">
        <v>8000</v>
      </c>
      <c r="D75" s="34">
        <v>20000</v>
      </c>
    </row>
    <row r="76" spans="2:7" ht="14.5" x14ac:dyDescent="0.35">
      <c r="B76" s="33" t="s">
        <v>25</v>
      </c>
      <c r="C76" s="34"/>
      <c r="D76" s="34"/>
    </row>
    <row r="77" spans="2:7" ht="14.5" x14ac:dyDescent="0.35">
      <c r="B77" s="35" t="s">
        <v>117</v>
      </c>
      <c r="C77" s="34">
        <v>300</v>
      </c>
      <c r="D77" s="34">
        <v>700</v>
      </c>
    </row>
    <row r="78" spans="2:7" ht="14.5" x14ac:dyDescent="0.35">
      <c r="B78" s="35" t="s">
        <v>118</v>
      </c>
      <c r="C78" s="34">
        <v>300</v>
      </c>
      <c r="D78" s="34">
        <v>600</v>
      </c>
    </row>
    <row r="79" spans="2:7" ht="14.5" x14ac:dyDescent="0.35">
      <c r="B79" s="36" t="s">
        <v>119</v>
      </c>
      <c r="C79" s="38">
        <v>0.03</v>
      </c>
      <c r="D79" s="38">
        <v>0.05</v>
      </c>
    </row>
  </sheetData>
  <autoFilter ref="A14:J14">
    <sortState ref="A15:J54">
      <sortCondition ref="C14"/>
    </sortState>
  </autoFilter>
  <mergeCells count="2">
    <mergeCell ref="A1:K1"/>
    <mergeCell ref="A4:K6"/>
  </mergeCells>
  <conditionalFormatting sqref="C14:C33">
    <cfRule type="cellIs" dxfId="35" priority="1" operator="lessThan">
      <formula>500000</formula>
    </cfRule>
  </conditionalFormatting>
  <hyperlinks>
    <hyperlink ref="I17" r:id="rId1" display="https://www.inmuebles24.com/propiedades/clasificado/vecltein-terreno-en-venta-santa-cruz-azcapozaltongo-tolucan-144483577.html?n_src=Listado&amp;n_pills=Propiedad+privada&amp;n_pg=1&amp;n_pos=1"/>
    <hyperlink ref="I16" r:id="rId2" display="https://www.inmuebles24.com/propiedades/clasificado/vecltein-terreno-en-boulevard-aeropuerto-toluca-66440504.html?n_src=Listado&amp;n_pills=Terreno+plano&amp;n_pg=1&amp;n_pos=3"/>
    <hyperlink ref="I25" r:id="rId3" display="https://www.inmuebles24.com/propiedades/clasificado/vecltein-terreno-en-venta-en-8-cedros-toluca-148279571.html?n_src=Listado&amp;n_pills=Zona+tranquila&amp;n_pg=1&amp;n_pos=6"/>
    <hyperlink ref="I24" r:id="rId4" display="https://www.inmuebles24.com/propiedades/clasificado/vecltein-terreno-a-unos-minutos-del-parque-bicentenario-de-147591668.html?n_src=Listado&amp;n_pills=Alta+plusval%C3%ADa&amp;n_pg=1&amp;n_pos=9"/>
    <hyperlink ref="I20" r:id="rId5" display="https://www.inmuebles24.com/propiedades/clasificado/vecltein-terreno-en-venta-muy-cerca-de-la-hacienda-barbabosa-145837177.html?n_src=Listado&amp;n_pills=Cerca+del+tren&amp;n_pg=1&amp;n_pos=12"/>
    <hyperlink ref="I22" r:id="rId6" display="https://www.inmuebles24.com/propiedades/clasificado/vecltein-terreno-en-capultitlan-priv.-luis-d.-colosio-142220832.html?n_src=Listado&amp;n_pills=Terreno+a+pie+de+calle&amp;n_pg=1&amp;n_pos=15"/>
    <hyperlink ref="I23" r:id="rId7" display="https://www.inmuebles24.com/propiedades/clasificado/vecltein-preventa-lotes-200-m-sup2--reserva-buenavista-toluca-147412961.html?n_src=Listado&amp;n_pills=Ideal+para+invertir&amp;n_pg=2&amp;n_pos=5"/>
    <hyperlink ref="I21" r:id="rId8" location="polycard_client=search-desktop&amp;search_layout=grid&amp;position=12&amp;type=item&amp;tracking_id=803d71d3-e077-4d81-a8dd-d8ead4ff58ad" display="https://terreno.mercadolibre.com.mx/MLM-4171585162-terreno-en-venta-en-san-miguel-totocuitlapilco-metepec-mexico-_JM - polycard_client=search-desktop&amp;search_layout=grid&amp;position=12&amp;type=item&amp;tracking_id=803d71d3-e077-4d81-a8dd-d8ead4ff58ad"/>
    <hyperlink ref="I27" r:id="rId9" display="https://www.inmuebles24.com/propiedades/clasificado/vecltein-venta-de-terreno-en-toluca-terreno-ubicado-en-colonia-148018941.html?n_src=Listado&amp;n_pills=Excelente+ubicaci%C3%B3n&amp;n_pg=1&amp;n_pos=4"/>
    <hyperlink ref="I28" r:id="rId10" display="https://www.inmuebles24.com/propiedades/clasificado/vecltein-terreno-residencial-en-venta-de-201-m-sup2--en-privada-148548245.html?n_src=Listado&amp;n_pills=Condominio+privado&amp;n_pg=3&amp;n_pos=3"/>
    <hyperlink ref="I19" r:id="rId11" display="https://www.inmuebles24.com/propiedades/clasificado/vecltein-terreno-en-venta-en-toluca-147241370.html?n_src=Listado&amp;n_pills=Servicios+a+pie+de+calle&amp;n_pg=3&amp;n_pos=7"/>
    <hyperlink ref="I15" r:id="rId12" display="https://www.inmuebles24.com/propiedades/clasificado/vecltein-terreno-en-venta-en-san-diego-de-los-padres-144483500.html?n_src=Listado&amp;n_pills=Listo+para+negocio&amp;n_pg=4&amp;n_pos=1"/>
    <hyperlink ref="I26" r:id="rId13" display="https://www.inmuebles24.com/propiedades/clasificado/vecltein-lotes-de-terreno-en-venta-atras-de-portofino-144406154.html?n_src=Listado&amp;n_pills=Uso+de+suelo+mixto&amp;n_pg=5&amp;n_pos=16"/>
    <hyperlink ref="I18" r:id="rId14" display="https://www.inmuebles24.com/propiedades/clasificado/vecltein-terreno-calixtlahuaca-146315204.html?n_src=Listado&amp;n_pills=Oportunidad+%C3%BAnica&amp;n_pg=5&amp;n_pos=28"/>
    <hyperlink ref="I29" r:id="rId15" display="https://www.inmuebles24.com/propiedades/clasificado/vecltein-venta-de-terreno-en-toluca-ubicado-en-san-cristobal-145266879.html?n_src=Listado&amp;n_pg=1&amp;n_pos=21"/>
    <hyperlink ref="I30" r:id="rId16" location="construccion-max=150&amp;remates=2&amp;tipos=terrenos-habitacionales-venta&amp;area=toluca&amp;pos=16" display="https://propiedades.com/inmuebles/terreno-habitacional-en-venta-san-mateo-oxtotitlan-mexico-28252745 - construccion-max=150&amp;remates=2&amp;tipos=terrenos-habitacionales-venta&amp;area=toluca&amp;pos=16"/>
    <hyperlink ref="I31" r:id="rId17" location="polycard_client=search-desktop&amp;search_layout=grid&amp;position=9&amp;type=item&amp;tracking_id=e4bb4ccf-661c-427d-b396-d58c67ef29b2" display="https://terreno.mercadolibre.com.mx/MLM-3889957598-terreno-en-venta-en-san-lorenzo-tepaltitlan-toluca-estado-de-mexico-_JM - polycard_client=search-desktop&amp;search_layout=grid&amp;position=9&amp;type=item&amp;tracking_id=e4bb4ccf-661c-427d-b396-d58c67ef29b2"/>
    <hyperlink ref="I32" r:id="rId18" display="https://www.vivanuncios.com.mx/a-venta-terreno/san-lorenzo-tepaltitlan-centro/terreno-en-san-lorenzo-tepaltitlan-centro/148591013?n_src=Listado&amp;n_pg=1&amp;n_pos=2"/>
    <hyperlink ref="I33" r:id="rId19" display="https://www.vivanuncios.com.mx/a-venta-terreno/santa-cruz-azcapotzaltongo/terreno-en-venta-santa-cruz-azcapotzaltongo-toluca/144484143?n_src=Listado&amp;n_pg=1&amp;n_pos=13"/>
  </hyperlinks>
  <pageMargins left="0.7" right="0.7" top="0.75" bottom="0.75" header="0.3" footer="0.3"/>
  <pageSetup orientation="portrait" horizontalDpi="360" verticalDpi="360" r:id="rId20"/>
  <drawing r:id="rId21"/>
  <legacyDrawing r:id="rId22"/>
  <tableParts count="1">
    <tablePart r:id="rId2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tabSelected="1" workbookViewId="0">
      <selection activeCell="H9" sqref="H9"/>
    </sheetView>
  </sheetViews>
  <sheetFormatPr baseColWidth="10" defaultRowHeight="14" x14ac:dyDescent="0.3"/>
  <cols>
    <col min="3" max="3" width="13.4140625" style="79" bestFit="1" customWidth="1"/>
    <col min="4" max="4" width="10.9140625" style="79" bestFit="1" customWidth="1"/>
    <col min="7" max="7" width="18.83203125" customWidth="1"/>
  </cols>
  <sheetData>
    <row r="1" spans="1:8" ht="29" x14ac:dyDescent="0.3">
      <c r="A1" s="3" t="s">
        <v>399</v>
      </c>
      <c r="B1" s="3" t="s">
        <v>12</v>
      </c>
      <c r="C1" s="10" t="s">
        <v>13</v>
      </c>
      <c r="D1" s="10" t="s">
        <v>14</v>
      </c>
      <c r="E1" s="3" t="s">
        <v>15</v>
      </c>
      <c r="F1" s="3" t="s">
        <v>16</v>
      </c>
      <c r="G1" s="3" t="s">
        <v>17</v>
      </c>
      <c r="H1" s="3" t="s">
        <v>19</v>
      </c>
    </row>
    <row r="2" spans="1:8" ht="112" x14ac:dyDescent="0.3">
      <c r="A2" s="6" t="s">
        <v>397</v>
      </c>
      <c r="B2" s="6" t="s">
        <v>398</v>
      </c>
      <c r="C2" s="79">
        <v>855000</v>
      </c>
      <c r="D2" s="90">
        <v>12762</v>
      </c>
      <c r="E2" s="6" t="s">
        <v>42</v>
      </c>
      <c r="F2" s="81" t="s">
        <v>401</v>
      </c>
      <c r="G2" s="78" t="s">
        <v>400</v>
      </c>
      <c r="H2" s="82" t="s">
        <v>402</v>
      </c>
    </row>
    <row r="3" spans="1:8" ht="112" x14ac:dyDescent="0.3">
      <c r="A3" s="80" t="s">
        <v>397</v>
      </c>
      <c r="B3" s="6" t="s">
        <v>403</v>
      </c>
      <c r="C3" s="79">
        <v>1314000</v>
      </c>
      <c r="D3" s="79">
        <v>16425</v>
      </c>
      <c r="E3" s="84" t="s">
        <v>42</v>
      </c>
      <c r="F3" s="81" t="s">
        <v>404</v>
      </c>
      <c r="G3" s="83" t="s">
        <v>405</v>
      </c>
      <c r="H3" s="82" t="s">
        <v>406</v>
      </c>
    </row>
    <row r="4" spans="1:8" ht="140" x14ac:dyDescent="0.3">
      <c r="A4" s="6" t="s">
        <v>397</v>
      </c>
      <c r="B4" s="6" t="s">
        <v>407</v>
      </c>
      <c r="C4" s="79">
        <v>560000</v>
      </c>
      <c r="D4" s="79">
        <v>13333</v>
      </c>
      <c r="E4" s="6" t="s">
        <v>42</v>
      </c>
      <c r="F4" s="81" t="s">
        <v>408</v>
      </c>
      <c r="G4" s="85" t="s">
        <v>409</v>
      </c>
      <c r="H4" s="82" t="s">
        <v>410</v>
      </c>
    </row>
    <row r="5" spans="1:8" ht="126" x14ac:dyDescent="0.3">
      <c r="A5" s="6" t="s">
        <v>397</v>
      </c>
      <c r="B5" s="86" t="s">
        <v>403</v>
      </c>
      <c r="C5" s="79">
        <v>1450000</v>
      </c>
      <c r="D5" s="79">
        <v>18125</v>
      </c>
      <c r="E5" s="6" t="s">
        <v>42</v>
      </c>
      <c r="F5" s="87" t="s">
        <v>411</v>
      </c>
      <c r="G5" s="88" t="s">
        <v>412</v>
      </c>
      <c r="H5" s="82" t="s">
        <v>413</v>
      </c>
    </row>
    <row r="6" spans="1:8" ht="112" x14ac:dyDescent="0.3">
      <c r="A6" s="86" t="s">
        <v>397</v>
      </c>
      <c r="B6" s="86" t="s">
        <v>414</v>
      </c>
      <c r="C6" s="79">
        <v>1076000</v>
      </c>
      <c r="D6" s="79">
        <v>17355</v>
      </c>
      <c r="E6" s="86" t="s">
        <v>42</v>
      </c>
      <c r="F6" s="81" t="s">
        <v>415</v>
      </c>
      <c r="G6" s="89" t="s">
        <v>416</v>
      </c>
      <c r="H6" s="23" t="s">
        <v>424</v>
      </c>
    </row>
    <row r="7" spans="1:8" ht="182" x14ac:dyDescent="0.3">
      <c r="A7" s="86" t="s">
        <v>397</v>
      </c>
      <c r="B7" s="86" t="s">
        <v>398</v>
      </c>
      <c r="C7" s="79">
        <v>1250000</v>
      </c>
      <c r="E7" s="86" t="s">
        <v>42</v>
      </c>
      <c r="F7" s="91" t="s">
        <v>417</v>
      </c>
      <c r="G7" s="92" t="s">
        <v>421</v>
      </c>
      <c r="H7" s="7" t="s">
        <v>418</v>
      </c>
    </row>
    <row r="8" spans="1:8" ht="126" x14ac:dyDescent="0.3">
      <c r="A8" s="86" t="s">
        <v>397</v>
      </c>
      <c r="B8" s="86" t="s">
        <v>419</v>
      </c>
      <c r="C8" s="79">
        <v>950000</v>
      </c>
      <c r="E8" s="86" t="s">
        <v>42</v>
      </c>
      <c r="F8" s="91" t="s">
        <v>420</v>
      </c>
      <c r="G8" s="92" t="s">
        <v>422</v>
      </c>
      <c r="H8" s="7" t="s">
        <v>423</v>
      </c>
    </row>
    <row r="9" spans="1:8" ht="111" x14ac:dyDescent="0.3">
      <c r="A9" s="86" t="s">
        <v>397</v>
      </c>
      <c r="B9" s="86" t="s">
        <v>425</v>
      </c>
      <c r="C9" s="79">
        <v>1030000</v>
      </c>
      <c r="E9" s="86" t="s">
        <v>42</v>
      </c>
      <c r="F9" s="91" t="s">
        <v>426</v>
      </c>
      <c r="G9" s="89" t="s">
        <v>427</v>
      </c>
      <c r="H9" s="7" t="s">
        <v>428</v>
      </c>
    </row>
    <row r="10" spans="1:8" x14ac:dyDescent="0.3">
      <c r="G10" s="77"/>
    </row>
    <row r="11" spans="1:8" x14ac:dyDescent="0.3">
      <c r="G11" s="77"/>
    </row>
    <row r="12" spans="1:8" x14ac:dyDescent="0.3">
      <c r="G12" s="77"/>
    </row>
    <row r="13" spans="1:8" x14ac:dyDescent="0.3">
      <c r="G13" s="77"/>
    </row>
    <row r="14" spans="1:8" x14ac:dyDescent="0.3">
      <c r="G14" s="77"/>
    </row>
    <row r="15" spans="1:8" x14ac:dyDescent="0.3">
      <c r="G15" s="77"/>
    </row>
    <row r="16" spans="1:8" x14ac:dyDescent="0.3">
      <c r="G16" s="77"/>
    </row>
  </sheetData>
  <conditionalFormatting sqref="C1">
    <cfRule type="cellIs" dxfId="30" priority="1" operator="lessThan">
      <formula>500000</formula>
    </cfRule>
  </conditionalFormatting>
  <hyperlinks>
    <hyperlink ref="H2" r:id="rId1" display="https://www.inmuebles24.com/propiedades/clasificado/veclcain-venta-casa-toluca.-inversion-segura-148816735.html?n_src=Listado&amp;n_pills=Concesi%C3%B3n+de+derechos&amp;n_pg=1&amp;n_pos=4"/>
    <hyperlink ref="H3" r:id="rId2" display="https://www.inmuebles24.com/propiedades/clasificado/veclcain-casa-en-venta-en-los-sauces-26-1494.-148971434.html?n_src=Listado&amp;n_pills=Sala+y+comedor&amp;n_pg=1&amp;n_pos=7"/>
    <hyperlink ref="H4" r:id="rId3" display="https://www.inmuebles24.com/propiedades/clasificado/veclcain-casa-con-credito-infonavit-dos-plantas-y-una-recamara-148967928.html?n_src=Listado&amp;n_pills=Libre+de+gravamen&amp;n_pg=1&amp;n_pos=10"/>
    <hyperlink ref="H5" r:id="rId4" display="https://www.inmuebles24.com/propiedades/clasificado/veclcain-venta-casa-en-temoaya-cerca-de-metepec-148620286.html?n_src=Listado&amp;n_pills=Cocina+integral&amp;n_pg=1&amp;n_pos=14"/>
    <hyperlink ref="H7" r:id="rId5" display="https://www.inmuebles24.com/propiedades/clasificado/veclcain-casa-en-venta-los-sauces-v-en-privada-toluca-145700555.html?n_src=Listado&amp;n_pills=Casa+en+privada&amp;n_pg=1&amp;n_pos=13"/>
    <hyperlink ref="H8" r:id="rId6" display="https://www.inmuebles24.com/propiedades/clasificado/veclcain-casa-en-venta-toluca-san-mateo-oxtotitlan-148623403.html?n_src=Listado&amp;n_pills=2+dormitorios&amp;n_pg=1&amp;n_pos=17"/>
    <hyperlink ref="H6" r:id="rId7" display="https://www.inmuebles24.com/propiedades/clasificado/veclcain-casa-en-venta-en-santa-maria-totoltepec-148275016.html?n_src=Listado&amp;n_pills=Buena+iluminaci%C3%B3n&amp;n_pg=1&amp;n_pos=21"/>
    <hyperlink ref="H9" r:id="rId8" display="https://www.inmuebles24.com/propiedades/clasificado/veclcain-casa-en-venta-toluca-148834961.html?n_src=Listado&amp;n_pills=Reci%C3%A9n+remodelada&amp;n_pg=2&amp;n_pos=6"/>
  </hyperlinks>
  <pageMargins left="0.7" right="0.7" top="0.75" bottom="0.75" header="0.3" footer="0.3"/>
  <pageSetup orientation="portrait" horizontalDpi="360" verticalDpi="360" r:id="rId9"/>
  <drawing r:id="rId1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41"/>
  <sheetViews>
    <sheetView topLeftCell="A31" zoomScale="90" zoomScaleNormal="90" workbookViewId="0">
      <selection activeCell="B41" sqref="B41"/>
    </sheetView>
  </sheetViews>
  <sheetFormatPr baseColWidth="10" defaultRowHeight="14" x14ac:dyDescent="0.3"/>
  <cols>
    <col min="1" max="1" width="16" customWidth="1"/>
    <col min="2" max="3" width="18.1640625" customWidth="1"/>
    <col min="4" max="4" width="10.6640625" style="48"/>
    <col min="5" max="5" width="9.58203125" bestFit="1" customWidth="1"/>
    <col min="7" max="7" width="10.6640625" style="25"/>
    <col min="9" max="9" width="18.83203125" style="25" customWidth="1"/>
    <col min="10" max="10" width="24.58203125" customWidth="1"/>
  </cols>
  <sheetData>
    <row r="1" spans="1:13" s="25" customFormat="1" x14ac:dyDescent="0.3">
      <c r="D1" s="48"/>
    </row>
    <row r="2" spans="1:13" s="25" customFormat="1" x14ac:dyDescent="0.3">
      <c r="D2" s="48"/>
    </row>
    <row r="3" spans="1:13" s="25" customFormat="1" x14ac:dyDescent="0.3">
      <c r="A3" s="107" t="s">
        <v>132</v>
      </c>
      <c r="B3" s="105"/>
      <c r="C3" s="105"/>
      <c r="D3" s="105"/>
      <c r="E3" s="105"/>
      <c r="F3" s="105"/>
      <c r="G3" s="105"/>
      <c r="H3" s="105"/>
      <c r="I3" s="105"/>
      <c r="J3" s="105"/>
    </row>
    <row r="4" spans="1:13" x14ac:dyDescent="0.3">
      <c r="A4" s="25"/>
      <c r="B4" s="25"/>
      <c r="C4" s="25"/>
      <c r="E4" s="25"/>
      <c r="F4" s="25"/>
      <c r="H4" s="25"/>
      <c r="J4" s="25"/>
    </row>
    <row r="5" spans="1:13" ht="15.5" x14ac:dyDescent="0.35">
      <c r="A5" s="47" t="s">
        <v>133</v>
      </c>
      <c r="B5" s="25"/>
      <c r="C5" s="25"/>
      <c r="E5" s="25"/>
      <c r="F5" s="25"/>
      <c r="H5" s="25"/>
      <c r="J5" s="25"/>
    </row>
    <row r="6" spans="1:13" x14ac:dyDescent="0.3">
      <c r="A6" s="106" t="s">
        <v>298</v>
      </c>
      <c r="B6" s="105"/>
      <c r="C6" s="105"/>
      <c r="D6" s="105"/>
      <c r="E6" s="105"/>
      <c r="F6" s="105"/>
      <c r="G6" s="105"/>
      <c r="H6" s="105"/>
      <c r="I6" s="105"/>
      <c r="J6" s="105"/>
    </row>
    <row r="7" spans="1:13" x14ac:dyDescent="0.3">
      <c r="A7" s="105"/>
      <c r="B7" s="105"/>
      <c r="C7" s="105"/>
      <c r="D7" s="105"/>
      <c r="E7" s="105"/>
      <c r="F7" s="105"/>
      <c r="G7" s="105"/>
      <c r="H7" s="105"/>
      <c r="I7" s="105"/>
      <c r="J7" s="105"/>
    </row>
    <row r="8" spans="1:13" x14ac:dyDescent="0.3">
      <c r="A8" s="105"/>
      <c r="B8" s="105"/>
      <c r="C8" s="105"/>
      <c r="D8" s="105"/>
      <c r="E8" s="105"/>
      <c r="F8" s="105"/>
      <c r="G8" s="105"/>
      <c r="H8" s="105"/>
      <c r="I8" s="105"/>
      <c r="J8" s="105"/>
    </row>
    <row r="9" spans="1:13" x14ac:dyDescent="0.3">
      <c r="A9" s="25"/>
      <c r="B9" s="25"/>
      <c r="C9" s="25"/>
      <c r="E9" s="25"/>
      <c r="F9" s="25"/>
      <c r="H9" s="25"/>
      <c r="J9" s="25"/>
    </row>
    <row r="10" spans="1:13" ht="29" x14ac:dyDescent="0.3">
      <c r="A10" s="44" t="s">
        <v>125</v>
      </c>
      <c r="B10" s="44" t="s">
        <v>126</v>
      </c>
      <c r="C10" s="44" t="s">
        <v>127</v>
      </c>
      <c r="D10" s="49" t="s">
        <v>128</v>
      </c>
      <c r="E10" s="44" t="s">
        <v>143</v>
      </c>
      <c r="F10" s="44" t="s">
        <v>129</v>
      </c>
      <c r="G10" s="44" t="s">
        <v>144</v>
      </c>
      <c r="H10" s="44" t="s">
        <v>130</v>
      </c>
      <c r="I10" s="44" t="s">
        <v>147</v>
      </c>
      <c r="J10" s="44" t="s">
        <v>131</v>
      </c>
    </row>
    <row r="11" spans="1:13" ht="42" x14ac:dyDescent="0.3">
      <c r="A11" s="52" t="s">
        <v>135</v>
      </c>
      <c r="B11" s="45" t="s">
        <v>134</v>
      </c>
      <c r="C11" s="45" t="s">
        <v>156</v>
      </c>
      <c r="D11" s="50">
        <v>0.4</v>
      </c>
      <c r="E11" s="45">
        <f>D11</f>
        <v>0.4</v>
      </c>
      <c r="F11" s="46">
        <v>9.58</v>
      </c>
      <c r="G11" s="46">
        <f>F11*(1+$M$11)</f>
        <v>11.1128</v>
      </c>
      <c r="H11" s="46">
        <f>E11*G11</f>
        <v>4.4451200000000002</v>
      </c>
      <c r="I11" s="46">
        <v>133</v>
      </c>
      <c r="J11" s="7" t="s">
        <v>148</v>
      </c>
      <c r="L11" t="s">
        <v>145</v>
      </c>
      <c r="M11">
        <v>0.16</v>
      </c>
    </row>
    <row r="12" spans="1:13" ht="42" x14ac:dyDescent="0.3">
      <c r="A12" s="52" t="s">
        <v>135</v>
      </c>
      <c r="B12" s="45" t="s">
        <v>136</v>
      </c>
      <c r="C12" s="45" t="s">
        <v>141</v>
      </c>
      <c r="D12" s="50">
        <v>4.4999999999999998E-2</v>
      </c>
      <c r="E12" s="45">
        <f t="shared" ref="E12:E22" si="0">D12</f>
        <v>4.4999999999999998E-2</v>
      </c>
      <c r="F12" s="46">
        <v>18</v>
      </c>
      <c r="G12" s="46">
        <f>F12*(1+$M$11)</f>
        <v>20.88</v>
      </c>
      <c r="H12" s="46">
        <f>E12*G12</f>
        <v>0.93959999999999988</v>
      </c>
      <c r="I12" s="51">
        <v>3999</v>
      </c>
      <c r="J12" s="7" t="s">
        <v>149</v>
      </c>
    </row>
    <row r="13" spans="1:13" ht="42" x14ac:dyDescent="0.3">
      <c r="A13" s="52" t="s">
        <v>135</v>
      </c>
      <c r="B13" s="45" t="s">
        <v>137</v>
      </c>
      <c r="C13" s="45" t="s">
        <v>141</v>
      </c>
      <c r="D13" s="50">
        <v>5.5E-2</v>
      </c>
      <c r="E13" s="45">
        <f t="shared" si="0"/>
        <v>5.5E-2</v>
      </c>
      <c r="F13" s="46">
        <v>18</v>
      </c>
      <c r="G13" s="46">
        <f>F13*(1+$M$11)</f>
        <v>20.88</v>
      </c>
      <c r="H13" s="46">
        <f>E13*G13</f>
        <v>1.1483999999999999</v>
      </c>
      <c r="I13" s="46">
        <v>4200</v>
      </c>
      <c r="J13" s="7" t="s">
        <v>150</v>
      </c>
    </row>
    <row r="14" spans="1:13" ht="56" x14ac:dyDescent="0.3">
      <c r="A14" s="52" t="s">
        <v>135</v>
      </c>
      <c r="B14" s="45" t="s">
        <v>138</v>
      </c>
      <c r="C14" s="45" t="s">
        <v>142</v>
      </c>
      <c r="D14" s="50">
        <v>4</v>
      </c>
      <c r="E14" s="45">
        <f t="shared" si="0"/>
        <v>4</v>
      </c>
      <c r="F14" s="46">
        <v>5.26</v>
      </c>
      <c r="G14" s="46">
        <f>F14*(1+$M$11)</f>
        <v>6.1015999999999995</v>
      </c>
      <c r="H14" s="46">
        <f>E14*G14</f>
        <v>24.406399999999998</v>
      </c>
      <c r="I14" s="46">
        <v>18444</v>
      </c>
      <c r="J14" s="7" t="s">
        <v>151</v>
      </c>
    </row>
    <row r="15" spans="1:13" ht="84" x14ac:dyDescent="0.3">
      <c r="A15" s="52" t="s">
        <v>135</v>
      </c>
      <c r="B15" s="45" t="s">
        <v>139</v>
      </c>
      <c r="C15" s="45" t="s">
        <v>142</v>
      </c>
      <c r="D15" s="50">
        <v>0.15</v>
      </c>
      <c r="E15" s="45">
        <f t="shared" si="0"/>
        <v>0.15</v>
      </c>
      <c r="F15" s="46"/>
      <c r="G15" s="46"/>
      <c r="H15" s="46"/>
      <c r="I15" s="46">
        <v>25</v>
      </c>
      <c r="J15" s="7" t="s">
        <v>152</v>
      </c>
    </row>
    <row r="16" spans="1:13" ht="42" x14ac:dyDescent="0.3">
      <c r="A16" s="52" t="s">
        <v>135</v>
      </c>
      <c r="B16" s="45" t="s">
        <v>140</v>
      </c>
      <c r="C16" s="45" t="s">
        <v>146</v>
      </c>
      <c r="D16" s="50">
        <v>0.2</v>
      </c>
      <c r="E16" s="45">
        <f t="shared" si="0"/>
        <v>0.2</v>
      </c>
      <c r="F16" s="46">
        <v>12.2</v>
      </c>
      <c r="G16" s="46">
        <f t="shared" ref="G16:G24" si="1">F16*(1+$M$11)</f>
        <v>14.151999999999997</v>
      </c>
      <c r="H16" s="46">
        <f t="shared" ref="H16:H21" si="2">E16*G16</f>
        <v>2.8303999999999996</v>
      </c>
      <c r="I16" s="46">
        <v>145</v>
      </c>
      <c r="J16" s="7" t="s">
        <v>153</v>
      </c>
    </row>
    <row r="17" spans="1:10" ht="42" x14ac:dyDescent="0.3">
      <c r="A17" s="52" t="s">
        <v>154</v>
      </c>
      <c r="B17" s="45" t="s">
        <v>134</v>
      </c>
      <c r="C17" s="45" t="s">
        <v>157</v>
      </c>
      <c r="D17" s="50">
        <v>0.7</v>
      </c>
      <c r="E17" s="45">
        <f t="shared" si="0"/>
        <v>0.7</v>
      </c>
      <c r="F17" s="46">
        <v>9.58</v>
      </c>
      <c r="G17" s="46">
        <f t="shared" si="1"/>
        <v>11.1128</v>
      </c>
      <c r="H17" s="46">
        <f t="shared" si="2"/>
        <v>7.7789599999999997</v>
      </c>
      <c r="I17" s="46">
        <v>133</v>
      </c>
      <c r="J17" s="7" t="s">
        <v>148</v>
      </c>
    </row>
    <row r="18" spans="1:10" ht="42" x14ac:dyDescent="0.3">
      <c r="A18" s="52" t="s">
        <v>154</v>
      </c>
      <c r="B18" s="45" t="s">
        <v>136</v>
      </c>
      <c r="C18" s="45" t="s">
        <v>141</v>
      </c>
      <c r="D18" s="50">
        <v>5.5E-2</v>
      </c>
      <c r="E18" s="45">
        <f t="shared" si="0"/>
        <v>5.5E-2</v>
      </c>
      <c r="F18" s="46">
        <v>18</v>
      </c>
      <c r="G18" s="46">
        <f t="shared" si="1"/>
        <v>20.88</v>
      </c>
      <c r="H18" s="46">
        <f t="shared" si="2"/>
        <v>1.1483999999999999</v>
      </c>
      <c r="I18" s="51">
        <v>3999</v>
      </c>
      <c r="J18" s="7" t="s">
        <v>149</v>
      </c>
    </row>
    <row r="19" spans="1:10" ht="42" x14ac:dyDescent="0.3">
      <c r="A19" s="52" t="s">
        <v>154</v>
      </c>
      <c r="B19" s="45" t="s">
        <v>137</v>
      </c>
      <c r="C19" s="45" t="s">
        <v>141</v>
      </c>
      <c r="D19" s="50">
        <v>6.5000000000000002E-2</v>
      </c>
      <c r="E19" s="45">
        <f t="shared" si="0"/>
        <v>6.5000000000000002E-2</v>
      </c>
      <c r="F19" s="46">
        <v>18</v>
      </c>
      <c r="G19" s="46">
        <f t="shared" si="1"/>
        <v>20.88</v>
      </c>
      <c r="H19" s="46">
        <f t="shared" si="2"/>
        <v>1.3572</v>
      </c>
      <c r="I19" s="46">
        <v>4200</v>
      </c>
      <c r="J19" s="7" t="s">
        <v>150</v>
      </c>
    </row>
    <row r="20" spans="1:10" ht="56" x14ac:dyDescent="0.3">
      <c r="A20" s="52" t="s">
        <v>154</v>
      </c>
      <c r="B20" s="45" t="s">
        <v>138</v>
      </c>
      <c r="C20" s="45" t="s">
        <v>142</v>
      </c>
      <c r="D20" s="50">
        <v>8</v>
      </c>
      <c r="E20" s="45">
        <f t="shared" si="0"/>
        <v>8</v>
      </c>
      <c r="F20" s="46">
        <v>5.26</v>
      </c>
      <c r="G20" s="46">
        <f t="shared" si="1"/>
        <v>6.1015999999999995</v>
      </c>
      <c r="H20" s="46">
        <f t="shared" si="2"/>
        <v>48.812799999999996</v>
      </c>
      <c r="I20" s="46">
        <v>18444</v>
      </c>
      <c r="J20" s="7" t="s">
        <v>151</v>
      </c>
    </row>
    <row r="21" spans="1:10" ht="56" x14ac:dyDescent="0.3">
      <c r="A21" s="52" t="s">
        <v>154</v>
      </c>
      <c r="B21" s="45" t="s">
        <v>155</v>
      </c>
      <c r="C21" s="45" t="s">
        <v>142</v>
      </c>
      <c r="D21" s="50">
        <v>2.5</v>
      </c>
      <c r="E21" s="45">
        <f t="shared" si="0"/>
        <v>2.5</v>
      </c>
      <c r="F21" s="46">
        <v>9.01</v>
      </c>
      <c r="G21" s="46">
        <f t="shared" si="1"/>
        <v>10.451599999999999</v>
      </c>
      <c r="H21" s="46">
        <f t="shared" si="2"/>
        <v>26.128999999999998</v>
      </c>
      <c r="I21" s="46">
        <v>24494</v>
      </c>
      <c r="J21" s="7" t="s">
        <v>158</v>
      </c>
    </row>
    <row r="22" spans="1:10" ht="84" x14ac:dyDescent="0.3">
      <c r="A22" s="52" t="s">
        <v>154</v>
      </c>
      <c r="B22" s="45" t="s">
        <v>139</v>
      </c>
      <c r="C22" s="45" t="s">
        <v>142</v>
      </c>
      <c r="D22" s="50">
        <v>0.2</v>
      </c>
      <c r="E22" s="45">
        <f t="shared" si="0"/>
        <v>0.2</v>
      </c>
      <c r="F22" s="46"/>
      <c r="G22" s="46">
        <f t="shared" si="1"/>
        <v>0</v>
      </c>
      <c r="H22" s="46">
        <f t="shared" ref="H22:H30" si="3">E22*G22</f>
        <v>0</v>
      </c>
      <c r="I22" s="46">
        <v>25</v>
      </c>
      <c r="J22" s="7" t="s">
        <v>152</v>
      </c>
    </row>
    <row r="23" spans="1:10" ht="42" x14ac:dyDescent="0.3">
      <c r="A23" s="52" t="s">
        <v>159</v>
      </c>
      <c r="B23" s="45" t="s">
        <v>160</v>
      </c>
      <c r="C23" s="45" t="s">
        <v>162</v>
      </c>
      <c r="D23" s="50">
        <v>12.5</v>
      </c>
      <c r="E23" s="45">
        <f>D23</f>
        <v>12.5</v>
      </c>
      <c r="F23" s="46">
        <v>1.02</v>
      </c>
      <c r="G23" s="46">
        <f t="shared" si="1"/>
        <v>1.1832</v>
      </c>
      <c r="H23" s="46">
        <f>E23*G23</f>
        <v>14.790000000000001</v>
      </c>
      <c r="I23" s="46">
        <v>19599</v>
      </c>
      <c r="J23" s="7" t="s">
        <v>164</v>
      </c>
    </row>
    <row r="24" spans="1:10" ht="84" x14ac:dyDescent="0.3">
      <c r="A24" s="52" t="s">
        <v>159</v>
      </c>
      <c r="B24" s="45" t="s">
        <v>161</v>
      </c>
      <c r="C24" s="45" t="s">
        <v>141</v>
      </c>
      <c r="D24" s="50">
        <v>0.02</v>
      </c>
      <c r="E24" s="45">
        <f t="shared" ref="E24:E30" si="4">D24</f>
        <v>0.02</v>
      </c>
      <c r="F24" s="46"/>
      <c r="G24" s="46">
        <f t="shared" si="1"/>
        <v>0</v>
      </c>
      <c r="H24" s="46">
        <f t="shared" si="3"/>
        <v>0</v>
      </c>
      <c r="I24" s="46">
        <v>1500</v>
      </c>
      <c r="J24" s="7" t="s">
        <v>165</v>
      </c>
    </row>
    <row r="25" spans="1:10" ht="42" x14ac:dyDescent="0.3">
      <c r="A25" s="52" t="s">
        <v>159</v>
      </c>
      <c r="B25" s="45" t="s">
        <v>134</v>
      </c>
      <c r="C25" s="45" t="s">
        <v>163</v>
      </c>
      <c r="D25" s="50">
        <v>0.25</v>
      </c>
      <c r="E25" s="45">
        <f t="shared" si="4"/>
        <v>0.25</v>
      </c>
      <c r="F25" s="46">
        <v>9.58</v>
      </c>
      <c r="G25" s="46">
        <f t="shared" ref="G25:G30" si="5">F25*(1+$M$11)</f>
        <v>11.1128</v>
      </c>
      <c r="H25" s="46">
        <f>E25*G25</f>
        <v>2.7782</v>
      </c>
      <c r="I25" s="46">
        <v>133</v>
      </c>
      <c r="J25" s="7" t="s">
        <v>148</v>
      </c>
    </row>
    <row r="26" spans="1:10" ht="42" x14ac:dyDescent="0.3">
      <c r="A26" s="52" t="s">
        <v>159</v>
      </c>
      <c r="B26" s="45" t="s">
        <v>136</v>
      </c>
      <c r="C26" s="45" t="s">
        <v>141</v>
      </c>
      <c r="D26" s="53">
        <v>0.02</v>
      </c>
      <c r="E26" s="45">
        <f t="shared" si="4"/>
        <v>0.02</v>
      </c>
      <c r="F26" s="46">
        <v>18</v>
      </c>
      <c r="G26" s="46">
        <f t="shared" si="5"/>
        <v>20.88</v>
      </c>
      <c r="H26" s="46">
        <f t="shared" si="3"/>
        <v>0.41759999999999997</v>
      </c>
      <c r="I26" s="51">
        <v>3999</v>
      </c>
      <c r="J26" s="7" t="s">
        <v>149</v>
      </c>
    </row>
    <row r="27" spans="1:10" ht="42" x14ac:dyDescent="0.3">
      <c r="A27" s="52" t="s">
        <v>166</v>
      </c>
      <c r="B27" s="45" t="s">
        <v>134</v>
      </c>
      <c r="C27" s="45" t="s">
        <v>163</v>
      </c>
      <c r="D27" s="50">
        <v>0.8</v>
      </c>
      <c r="E27" s="45">
        <f t="shared" si="4"/>
        <v>0.8</v>
      </c>
      <c r="F27" s="46">
        <v>9.58</v>
      </c>
      <c r="G27" s="46">
        <f t="shared" si="5"/>
        <v>11.1128</v>
      </c>
      <c r="H27" s="46">
        <f>E27*G27</f>
        <v>8.8902400000000004</v>
      </c>
      <c r="I27" s="46">
        <v>133</v>
      </c>
      <c r="J27" s="7" t="s">
        <v>148</v>
      </c>
    </row>
    <row r="28" spans="1:10" ht="42" x14ac:dyDescent="0.3">
      <c r="A28" s="52" t="s">
        <v>166</v>
      </c>
      <c r="B28" s="45" t="s">
        <v>136</v>
      </c>
      <c r="C28" s="45" t="s">
        <v>141</v>
      </c>
      <c r="D28" s="50">
        <v>0.06</v>
      </c>
      <c r="E28" s="45">
        <f t="shared" si="4"/>
        <v>0.06</v>
      </c>
      <c r="F28" s="46">
        <v>18</v>
      </c>
      <c r="G28" s="46">
        <f t="shared" si="5"/>
        <v>20.88</v>
      </c>
      <c r="H28" s="46">
        <f t="shared" si="3"/>
        <v>1.2527999999999999</v>
      </c>
      <c r="I28" s="51">
        <v>3999</v>
      </c>
      <c r="J28" s="7" t="s">
        <v>149</v>
      </c>
    </row>
    <row r="29" spans="1:10" ht="42" x14ac:dyDescent="0.3">
      <c r="A29" s="52" t="s">
        <v>166</v>
      </c>
      <c r="B29" s="45" t="s">
        <v>137</v>
      </c>
      <c r="C29" s="45" t="s">
        <v>141</v>
      </c>
      <c r="D29" s="50">
        <v>7.0000000000000007E-2</v>
      </c>
      <c r="E29" s="45">
        <f t="shared" si="4"/>
        <v>7.0000000000000007E-2</v>
      </c>
      <c r="F29" s="46">
        <v>18</v>
      </c>
      <c r="G29" s="46">
        <f t="shared" si="5"/>
        <v>20.88</v>
      </c>
      <c r="H29" s="46">
        <f t="shared" si="3"/>
        <v>1.4616</v>
      </c>
      <c r="I29" s="46">
        <v>4200</v>
      </c>
      <c r="J29" s="7" t="s">
        <v>150</v>
      </c>
    </row>
    <row r="30" spans="1:10" ht="56" x14ac:dyDescent="0.3">
      <c r="A30" s="52" t="s">
        <v>166</v>
      </c>
      <c r="B30" s="45" t="s">
        <v>138</v>
      </c>
      <c r="C30" s="45" t="s">
        <v>142</v>
      </c>
      <c r="D30" s="50">
        <v>8</v>
      </c>
      <c r="E30" s="45">
        <f t="shared" si="4"/>
        <v>8</v>
      </c>
      <c r="F30" s="46">
        <v>5.26</v>
      </c>
      <c r="G30" s="46">
        <f t="shared" si="5"/>
        <v>6.1015999999999995</v>
      </c>
      <c r="H30" s="46">
        <f t="shared" si="3"/>
        <v>48.812799999999996</v>
      </c>
      <c r="I30" s="46">
        <v>18444</v>
      </c>
      <c r="J30" s="7" t="s">
        <v>151</v>
      </c>
    </row>
    <row r="33" spans="1:5" x14ac:dyDescent="0.3">
      <c r="A33" s="54" t="s">
        <v>167</v>
      </c>
      <c r="B33" s="54" t="s">
        <v>168</v>
      </c>
      <c r="C33" s="54" t="s">
        <v>169</v>
      </c>
      <c r="D33" s="54" t="s">
        <v>127</v>
      </c>
      <c r="E33" s="54" t="s">
        <v>170</v>
      </c>
    </row>
    <row r="34" spans="1:5" ht="28" x14ac:dyDescent="0.3">
      <c r="A34" s="9" t="s">
        <v>171</v>
      </c>
      <c r="B34" s="9" t="s">
        <v>172</v>
      </c>
      <c r="C34" s="9" t="s">
        <v>173</v>
      </c>
      <c r="D34" s="9" t="s">
        <v>174</v>
      </c>
      <c r="E34" s="9" t="s">
        <v>175</v>
      </c>
    </row>
    <row r="35" spans="1:5" ht="28" x14ac:dyDescent="0.3">
      <c r="A35" s="9" t="s">
        <v>171</v>
      </c>
      <c r="B35" s="9" t="s">
        <v>176</v>
      </c>
      <c r="C35" s="9" t="s">
        <v>177</v>
      </c>
      <c r="D35" s="9" t="s">
        <v>174</v>
      </c>
      <c r="E35" s="9" t="s">
        <v>178</v>
      </c>
    </row>
    <row r="36" spans="1:5" ht="28" x14ac:dyDescent="0.3">
      <c r="A36" s="9" t="s">
        <v>179</v>
      </c>
      <c r="B36" s="9" t="s">
        <v>180</v>
      </c>
      <c r="C36" s="9" t="s">
        <v>181</v>
      </c>
      <c r="D36" s="9" t="s">
        <v>182</v>
      </c>
      <c r="E36" s="9" t="s">
        <v>183</v>
      </c>
    </row>
    <row r="37" spans="1:5" x14ac:dyDescent="0.3">
      <c r="A37" s="9" t="s">
        <v>179</v>
      </c>
      <c r="B37" s="9" t="s">
        <v>176</v>
      </c>
      <c r="C37" s="9" t="s">
        <v>184</v>
      </c>
      <c r="D37" s="9" t="s">
        <v>182</v>
      </c>
      <c r="E37" s="9" t="s">
        <v>185</v>
      </c>
    </row>
    <row r="38" spans="1:5" ht="28" x14ac:dyDescent="0.3">
      <c r="A38" s="9" t="s">
        <v>186</v>
      </c>
      <c r="B38" s="9" t="s">
        <v>187</v>
      </c>
      <c r="C38" s="9" t="s">
        <v>188</v>
      </c>
      <c r="D38" s="9" t="s">
        <v>189</v>
      </c>
      <c r="E38" s="9" t="s">
        <v>190</v>
      </c>
    </row>
    <row r="39" spans="1:5" ht="28" x14ac:dyDescent="0.3">
      <c r="A39" s="9" t="s">
        <v>186</v>
      </c>
      <c r="B39" s="9" t="s">
        <v>191</v>
      </c>
      <c r="C39" s="9" t="s">
        <v>192</v>
      </c>
      <c r="D39" s="9" t="s">
        <v>189</v>
      </c>
      <c r="E39" s="9" t="s">
        <v>193</v>
      </c>
    </row>
    <row r="40" spans="1:5" ht="28" x14ac:dyDescent="0.3">
      <c r="A40" s="9" t="s">
        <v>186</v>
      </c>
      <c r="B40" s="9" t="s">
        <v>194</v>
      </c>
      <c r="C40" s="9" t="s">
        <v>195</v>
      </c>
      <c r="D40" s="9" t="s">
        <v>196</v>
      </c>
      <c r="E40" s="9" t="s">
        <v>197</v>
      </c>
    </row>
    <row r="41" spans="1:5" ht="28" x14ac:dyDescent="0.3">
      <c r="A41" s="9" t="s">
        <v>186</v>
      </c>
      <c r="B41" s="9" t="s">
        <v>198</v>
      </c>
      <c r="C41" s="9" t="s">
        <v>199</v>
      </c>
      <c r="D41" s="9" t="s">
        <v>189</v>
      </c>
      <c r="E41" s="9" t="s">
        <v>200</v>
      </c>
    </row>
  </sheetData>
  <autoFilter ref="A10:J10"/>
  <mergeCells count="2">
    <mergeCell ref="A3:J3"/>
    <mergeCell ref="A6:J8"/>
  </mergeCells>
  <dataValidations count="1">
    <dataValidation type="list" allowBlank="1" sqref="A11:A30">
      <formula1>"Cimentación,Estructura,Mampostería,Acabados,Instalaciones,Otros"</formula1>
    </dataValidation>
  </dataValidations>
  <hyperlinks>
    <hyperlink ref="J11" r:id="rId1" display="https://www.homedepot.com.mx/p/cemex-cemento-extra-gris-cemex-25-kg-cpc-30r-rs-457420?msockid=3c140443a2a46d2e3ca81779a3966c9b"/>
    <hyperlink ref="J12" r:id="rId2" display="https://www.homedepot.com.mx/p/carga-completa-de-arena-6m3-202860"/>
    <hyperlink ref="J13" r:id="rId3" display="https://www.homedepot.com.mx/p/carga-completa-de-grava-6m3-202879"/>
    <hyperlink ref="J14" r:id="rId4" display="https://www.homedepot.com.mx/p/varilla-corrugada-recta-r-42-3-8-12-metros-1-tonelada-r42-177788"/>
    <hyperlink ref="J15" r:id="rId5" display="https://www.homedepot.com.mx/p/alambre-de-acero-recocido-cal-16-de-159-mm-o-0062-pulgadas-venta-por-kilo-calibre-16-462843"/>
    <hyperlink ref="J16" r:id="rId6" display="https://www.homedepot.com.mx/p/tabla-de-pino-para-cimbra-1-x-6-x-8-137526-137526"/>
    <hyperlink ref="J17" r:id="rId7" display="https://www.homedepot.com.mx/p/cemex-cemento-extra-gris-cemex-25-kg-cpc-30r-rs-457420?msockid=3c140443a2a46d2e3ca81779a3966c9b"/>
    <hyperlink ref="J18" r:id="rId8" display="https://www.homedepot.com.mx/p/carga-completa-de-arena-6m3-202860"/>
    <hyperlink ref="J19" r:id="rId9" display="https://www.homedepot.com.mx/p/carga-completa-de-grava-6m3-202879"/>
    <hyperlink ref="J20" r:id="rId10" display="https://www.homedepot.com.mx/p/varilla-corrugada-recta-r-42-3-8-12-metros-1-tonelada-r42-177788"/>
    <hyperlink ref="J22" r:id="rId11" display="https://www.homedepot.com.mx/p/alambre-de-acero-recocido-cal-16-de-159-mm-o-0062-pulgadas-venta-por-kilo-calibre-16-462843"/>
    <hyperlink ref="J21" r:id="rId12" display="https://www.homedepot.com.mx/p/varilla-corrugada-recta-grado-6000-1-4-1-tonelada-6000-268017?msockid=3c140443a2a46d2e3ca81779a3966c9b"/>
    <hyperlink ref="J23" r:id="rId13" display="https://www.homedepot.com.mx/p/carga-block-1200pz-15x20x40-2h-151469"/>
    <hyperlink ref="J24" r:id="rId14" display="https://www.homedepot.com.mx/p/sika-mortero-cementicio-acrilico-para-revestimientos-impermeables-blanco-de-163-kilogramos-800608"/>
    <hyperlink ref="J25" r:id="rId15" display="https://www.homedepot.com.mx/p/cemex-cemento-extra-gris-cemex-25-kg-cpc-30r-rs-457420?msockid=3c140443a2a46d2e3ca81779a3966c9b"/>
    <hyperlink ref="J26" r:id="rId16" display="https://www.homedepot.com.mx/p/carga-completa-de-arena-6m3-202860"/>
    <hyperlink ref="J27" r:id="rId17" display="https://www.homedepot.com.mx/p/cemex-cemento-extra-gris-cemex-25-kg-cpc-30r-rs-457420?msockid=3c140443a2a46d2e3ca81779a3966c9b"/>
    <hyperlink ref="J28" r:id="rId18" display="https://www.homedepot.com.mx/p/carga-completa-de-arena-6m3-202860"/>
    <hyperlink ref="J29" r:id="rId19" display="https://www.homedepot.com.mx/p/carga-completa-de-grava-6m3-202879"/>
    <hyperlink ref="J30" r:id="rId20" display="https://www.homedepot.com.mx/p/varilla-corrugada-recta-r-42-3-8-12-metros-1-tonelada-r42-177788"/>
  </hyperlinks>
  <pageMargins left="0.7" right="0.7" top="0.75" bottom="0.75" header="0.3" footer="0.3"/>
  <pageSetup orientation="portrait" horizontalDpi="360" verticalDpi="360" r:id="rId21"/>
  <legacyDrawing r:id="rId22"/>
  <tableParts count="1">
    <tablePart r:id="rId2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zoomScaleNormal="100" workbookViewId="0">
      <selection activeCell="G8" sqref="G8"/>
    </sheetView>
  </sheetViews>
  <sheetFormatPr baseColWidth="10" defaultRowHeight="14" x14ac:dyDescent="0.3"/>
  <cols>
    <col min="1" max="1" width="11.1640625" customWidth="1"/>
    <col min="3" max="3" width="18.9140625" customWidth="1"/>
    <col min="4" max="4" width="18.83203125" customWidth="1"/>
    <col min="5" max="5" width="19.58203125" customWidth="1"/>
  </cols>
  <sheetData>
    <row r="1" spans="1:10" s="25" customFormat="1" x14ac:dyDescent="0.3">
      <c r="A1" s="104" t="s">
        <v>254</v>
      </c>
      <c r="B1" s="105"/>
      <c r="C1" s="105"/>
      <c r="D1" s="105"/>
      <c r="E1" s="105"/>
      <c r="F1" s="105"/>
      <c r="G1" s="105"/>
      <c r="H1" s="105"/>
      <c r="I1" s="105"/>
      <c r="J1" s="105"/>
    </row>
    <row r="2" spans="1:10" s="25" customFormat="1" x14ac:dyDescent="0.3"/>
    <row r="3" spans="1:10" s="25" customFormat="1" x14ac:dyDescent="0.3"/>
    <row r="4" spans="1:10" x14ac:dyDescent="0.3">
      <c r="A4" s="56" t="s">
        <v>125</v>
      </c>
      <c r="B4" s="56" t="s">
        <v>201</v>
      </c>
      <c r="C4" s="56" t="s">
        <v>224</v>
      </c>
      <c r="D4" s="56" t="s">
        <v>240</v>
      </c>
      <c r="E4" s="56" t="s">
        <v>202</v>
      </c>
    </row>
    <row r="5" spans="1:10" ht="30" x14ac:dyDescent="0.3">
      <c r="A5" s="55" t="s">
        <v>203</v>
      </c>
      <c r="B5" s="55" t="s">
        <v>225</v>
      </c>
      <c r="C5" s="55" t="s">
        <v>241</v>
      </c>
      <c r="D5" t="s">
        <v>226</v>
      </c>
      <c r="E5" s="55" t="s">
        <v>204</v>
      </c>
      <c r="G5" s="73"/>
    </row>
    <row r="6" spans="1:10" ht="28" x14ac:dyDescent="0.3">
      <c r="A6" s="55" t="s">
        <v>203</v>
      </c>
      <c r="B6" s="55" t="s">
        <v>227</v>
      </c>
      <c r="C6" s="55" t="s">
        <v>242</v>
      </c>
      <c r="D6" t="s">
        <v>226</v>
      </c>
      <c r="E6" s="55" t="s">
        <v>243</v>
      </c>
    </row>
    <row r="7" spans="1:10" ht="28" x14ac:dyDescent="0.3">
      <c r="A7" s="55" t="s">
        <v>200</v>
      </c>
      <c r="B7" s="55" t="s">
        <v>205</v>
      </c>
      <c r="C7" s="55" t="s">
        <v>228</v>
      </c>
      <c r="D7" t="s">
        <v>226</v>
      </c>
      <c r="E7" s="55" t="s">
        <v>206</v>
      </c>
      <c r="G7" s="54"/>
      <c r="H7" s="54"/>
      <c r="I7" s="54"/>
      <c r="J7" s="54"/>
    </row>
    <row r="8" spans="1:10" ht="28" x14ac:dyDescent="0.3">
      <c r="A8" s="55" t="s">
        <v>200</v>
      </c>
      <c r="B8" s="55" t="s">
        <v>244</v>
      </c>
      <c r="C8" s="55" t="s">
        <v>245</v>
      </c>
      <c r="D8" t="s">
        <v>229</v>
      </c>
      <c r="E8" s="55" t="s">
        <v>207</v>
      </c>
      <c r="G8" s="9"/>
      <c r="H8" s="9"/>
      <c r="I8" s="9"/>
      <c r="J8" s="9"/>
    </row>
    <row r="9" spans="1:10" ht="28" x14ac:dyDescent="0.3">
      <c r="A9" s="55" t="s">
        <v>208</v>
      </c>
      <c r="B9" s="55" t="s">
        <v>230</v>
      </c>
      <c r="C9" s="55" t="s">
        <v>231</v>
      </c>
      <c r="D9" t="s">
        <v>226</v>
      </c>
      <c r="E9" s="55" t="s">
        <v>209</v>
      </c>
      <c r="G9" s="9"/>
      <c r="H9" s="9"/>
      <c r="I9" s="9"/>
      <c r="J9" s="9"/>
    </row>
    <row r="10" spans="1:10" ht="28" x14ac:dyDescent="0.3">
      <c r="A10" s="55" t="s">
        <v>208</v>
      </c>
      <c r="B10" s="55" t="s">
        <v>232</v>
      </c>
      <c r="C10" s="55" t="s">
        <v>210</v>
      </c>
      <c r="D10" t="s">
        <v>229</v>
      </c>
      <c r="E10" s="55" t="s">
        <v>211</v>
      </c>
      <c r="G10" s="9"/>
      <c r="H10" s="9"/>
      <c r="I10" s="9"/>
      <c r="J10" s="9"/>
    </row>
    <row r="11" spans="1:10" ht="28" x14ac:dyDescent="0.3">
      <c r="A11" s="55" t="s">
        <v>212</v>
      </c>
      <c r="B11" s="55" t="s">
        <v>213</v>
      </c>
      <c r="C11" s="55" t="s">
        <v>233</v>
      </c>
      <c r="D11" t="s">
        <v>234</v>
      </c>
      <c r="E11" s="55" t="s">
        <v>246</v>
      </c>
      <c r="G11" s="9"/>
      <c r="H11" s="9"/>
      <c r="I11" s="9"/>
      <c r="J11" s="9"/>
    </row>
    <row r="12" spans="1:10" ht="28" x14ac:dyDescent="0.3">
      <c r="A12" s="55" t="s">
        <v>212</v>
      </c>
      <c r="B12" s="55" t="s">
        <v>235</v>
      </c>
      <c r="C12" s="55" t="s">
        <v>247</v>
      </c>
      <c r="D12" t="s">
        <v>234</v>
      </c>
      <c r="E12" s="55" t="s">
        <v>248</v>
      </c>
    </row>
    <row r="13" spans="1:10" ht="28" x14ac:dyDescent="0.3">
      <c r="A13" s="55" t="s">
        <v>214</v>
      </c>
      <c r="B13" s="55" t="s">
        <v>249</v>
      </c>
      <c r="C13" s="55" t="s">
        <v>250</v>
      </c>
      <c r="D13" t="s">
        <v>229</v>
      </c>
      <c r="E13" s="55" t="s">
        <v>215</v>
      </c>
    </row>
    <row r="14" spans="1:10" ht="28" x14ac:dyDescent="0.3">
      <c r="A14" s="55" t="s">
        <v>216</v>
      </c>
      <c r="B14" s="55" t="s">
        <v>236</v>
      </c>
      <c r="C14" s="55" t="s">
        <v>217</v>
      </c>
      <c r="D14" t="s">
        <v>226</v>
      </c>
      <c r="E14" s="55" t="s">
        <v>218</v>
      </c>
    </row>
    <row r="15" spans="1:10" ht="28" x14ac:dyDescent="0.3">
      <c r="A15" s="55" t="s">
        <v>216</v>
      </c>
      <c r="B15" s="55" t="s">
        <v>237</v>
      </c>
      <c r="C15" s="55" t="s">
        <v>238</v>
      </c>
      <c r="D15" t="s">
        <v>229</v>
      </c>
      <c r="E15" s="55" t="s">
        <v>219</v>
      </c>
    </row>
    <row r="16" spans="1:10" ht="28" x14ac:dyDescent="0.3">
      <c r="A16" s="55" t="s">
        <v>220</v>
      </c>
      <c r="B16" s="55" t="s">
        <v>221</v>
      </c>
      <c r="C16" s="55" t="s">
        <v>251</v>
      </c>
      <c r="D16" t="s">
        <v>226</v>
      </c>
      <c r="E16" s="55" t="s">
        <v>252</v>
      </c>
    </row>
    <row r="17" spans="1:5" ht="28" x14ac:dyDescent="0.3">
      <c r="A17" s="55" t="s">
        <v>222</v>
      </c>
      <c r="B17" s="55" t="s">
        <v>239</v>
      </c>
      <c r="C17" s="55" t="s">
        <v>253</v>
      </c>
      <c r="D17" t="s">
        <v>226</v>
      </c>
      <c r="E17" s="55" t="s">
        <v>223</v>
      </c>
    </row>
  </sheetData>
  <mergeCells count="1">
    <mergeCell ref="A1:J1"/>
  </mergeCells>
  <conditionalFormatting sqref="D4">
    <cfRule type="colorScale" priority="4">
      <colorScale>
        <cfvo type="min"/>
        <cfvo type="max"/>
        <color rgb="FF63BE7B"/>
        <color rgb="FFFFEF9C"/>
      </colorScale>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selection activeCell="G10" sqref="G10"/>
    </sheetView>
  </sheetViews>
  <sheetFormatPr baseColWidth="10" defaultRowHeight="14" x14ac:dyDescent="0.3"/>
  <cols>
    <col min="1" max="1" width="10.83203125" customWidth="1"/>
    <col min="2" max="2" width="12.08203125" customWidth="1"/>
    <col min="4" max="4" width="34" customWidth="1"/>
    <col min="5" max="5" width="18.1640625" customWidth="1"/>
  </cols>
  <sheetData>
    <row r="1" spans="1:11" x14ac:dyDescent="0.3">
      <c r="A1" s="104" t="s">
        <v>296</v>
      </c>
      <c r="B1" s="105"/>
      <c r="C1" s="105"/>
      <c r="D1" s="105"/>
      <c r="E1" s="105"/>
      <c r="F1" s="105"/>
      <c r="G1" s="105"/>
      <c r="H1" s="105"/>
      <c r="I1" s="105"/>
      <c r="J1" s="105"/>
    </row>
    <row r="3" spans="1:11" x14ac:dyDescent="0.3">
      <c r="A3" s="106" t="s">
        <v>297</v>
      </c>
      <c r="B3" s="105"/>
      <c r="C3" s="105"/>
      <c r="D3" s="105"/>
      <c r="E3" s="105"/>
      <c r="F3" s="105"/>
      <c r="G3" s="105"/>
      <c r="H3" s="105"/>
      <c r="I3" s="105"/>
      <c r="J3" s="105"/>
      <c r="K3" s="105"/>
    </row>
    <row r="4" spans="1:11" x14ac:dyDescent="0.3">
      <c r="A4" s="105"/>
      <c r="B4" s="105"/>
      <c r="C4" s="105"/>
      <c r="D4" s="105"/>
      <c r="E4" s="105"/>
      <c r="F4" s="105"/>
      <c r="G4" s="105"/>
      <c r="H4" s="105"/>
      <c r="I4" s="105"/>
      <c r="J4" s="105"/>
      <c r="K4" s="105"/>
    </row>
    <row r="5" spans="1:11" x14ac:dyDescent="0.3">
      <c r="A5" s="105"/>
      <c r="B5" s="105"/>
      <c r="C5" s="105"/>
      <c r="D5" s="105"/>
      <c r="E5" s="105"/>
      <c r="F5" s="105"/>
      <c r="G5" s="105"/>
      <c r="H5" s="105"/>
      <c r="I5" s="105"/>
      <c r="J5" s="105"/>
      <c r="K5" s="105"/>
    </row>
    <row r="6" spans="1:11" s="25" customFormat="1" x14ac:dyDescent="0.3"/>
    <row r="7" spans="1:11" x14ac:dyDescent="0.3">
      <c r="A7" s="54" t="s">
        <v>125</v>
      </c>
      <c r="B7" s="54" t="s">
        <v>255</v>
      </c>
      <c r="C7" s="54" t="s">
        <v>256</v>
      </c>
      <c r="D7" s="54" t="s">
        <v>257</v>
      </c>
      <c r="E7" s="54" t="s">
        <v>258</v>
      </c>
    </row>
    <row r="8" spans="1:11" ht="56" x14ac:dyDescent="0.3">
      <c r="A8" s="9" t="s">
        <v>259</v>
      </c>
      <c r="B8" s="9" t="s">
        <v>260</v>
      </c>
      <c r="C8" s="9" t="s">
        <v>261</v>
      </c>
      <c r="D8" s="9" t="s">
        <v>262</v>
      </c>
      <c r="E8" s="9" t="s">
        <v>263</v>
      </c>
    </row>
    <row r="9" spans="1:11" ht="56" x14ac:dyDescent="0.3">
      <c r="A9" s="9" t="s">
        <v>203</v>
      </c>
      <c r="B9" s="9" t="s">
        <v>264</v>
      </c>
      <c r="C9" s="9" t="s">
        <v>265</v>
      </c>
      <c r="D9" s="9" t="s">
        <v>266</v>
      </c>
      <c r="E9" s="9" t="s">
        <v>267</v>
      </c>
    </row>
    <row r="10" spans="1:11" ht="42" x14ac:dyDescent="0.3">
      <c r="A10" s="9" t="s">
        <v>268</v>
      </c>
      <c r="B10" s="9" t="s">
        <v>269</v>
      </c>
      <c r="C10" s="9" t="s">
        <v>270</v>
      </c>
      <c r="D10" s="9" t="s">
        <v>271</v>
      </c>
      <c r="E10" s="9" t="s">
        <v>272</v>
      </c>
    </row>
    <row r="11" spans="1:11" ht="42" x14ac:dyDescent="0.3">
      <c r="A11" s="9" t="s">
        <v>273</v>
      </c>
      <c r="B11" s="9" t="s">
        <v>274</v>
      </c>
      <c r="C11" s="9" t="s">
        <v>275</v>
      </c>
      <c r="D11" s="9" t="s">
        <v>276</v>
      </c>
      <c r="E11" s="9" t="s">
        <v>277</v>
      </c>
    </row>
    <row r="12" spans="1:11" ht="28" x14ac:dyDescent="0.3">
      <c r="A12" s="9" t="s">
        <v>208</v>
      </c>
      <c r="B12" s="9" t="s">
        <v>278</v>
      </c>
      <c r="C12" s="9" t="s">
        <v>279</v>
      </c>
      <c r="D12" s="9" t="s">
        <v>280</v>
      </c>
      <c r="E12" s="9" t="s">
        <v>281</v>
      </c>
    </row>
    <row r="13" spans="1:11" ht="42" x14ac:dyDescent="0.3">
      <c r="A13" s="9" t="s">
        <v>282</v>
      </c>
      <c r="B13" s="9" t="s">
        <v>283</v>
      </c>
      <c r="C13" s="9" t="s">
        <v>284</v>
      </c>
      <c r="D13" s="9" t="s">
        <v>285</v>
      </c>
      <c r="E13" s="9" t="s">
        <v>286</v>
      </c>
    </row>
    <row r="14" spans="1:11" ht="42" x14ac:dyDescent="0.3">
      <c r="A14" s="9" t="s">
        <v>216</v>
      </c>
      <c r="B14" s="9" t="s">
        <v>287</v>
      </c>
      <c r="C14" s="9" t="s">
        <v>288</v>
      </c>
      <c r="D14" s="9" t="s">
        <v>289</v>
      </c>
      <c r="E14" s="9" t="s">
        <v>290</v>
      </c>
    </row>
    <row r="15" spans="1:11" ht="42" x14ac:dyDescent="0.3">
      <c r="A15" s="9" t="s">
        <v>291</v>
      </c>
      <c r="B15" s="9" t="s">
        <v>292</v>
      </c>
      <c r="C15" s="9" t="s">
        <v>293</v>
      </c>
      <c r="D15" s="9" t="s">
        <v>294</v>
      </c>
      <c r="E15" s="9" t="s">
        <v>295</v>
      </c>
    </row>
  </sheetData>
  <mergeCells count="2">
    <mergeCell ref="A1:J1"/>
    <mergeCell ref="A3:K5"/>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5"/>
  <sheetViews>
    <sheetView workbookViewId="0">
      <pane ySplit="3" topLeftCell="A4" activePane="bottomLeft" state="frozen"/>
      <selection pane="bottomLeft" activeCell="B16" sqref="B16"/>
    </sheetView>
  </sheetViews>
  <sheetFormatPr baseColWidth="10" defaultColWidth="8" defaultRowHeight="14.5" x14ac:dyDescent="0.35"/>
  <cols>
    <col min="1" max="1" width="23.83203125" style="57" customWidth="1"/>
    <col min="2" max="2" width="16.5" style="57" customWidth="1"/>
    <col min="3" max="3" width="3.6640625" style="57" customWidth="1"/>
    <col min="4" max="4" width="23.83203125" style="57" customWidth="1"/>
    <col min="5" max="5" width="16.5" style="57" customWidth="1"/>
    <col min="6" max="6" width="3.6640625" style="57" customWidth="1"/>
    <col min="7" max="7" width="23.83203125" style="57" customWidth="1"/>
    <col min="8" max="8" width="16.5" style="57" customWidth="1"/>
    <col min="9" max="16384" width="8" style="57"/>
  </cols>
  <sheetData>
    <row r="1" spans="1:8" ht="28" customHeight="1" x14ac:dyDescent="0.35">
      <c r="A1" s="110" t="s">
        <v>325</v>
      </c>
      <c r="B1" s="109"/>
      <c r="C1" s="109"/>
      <c r="D1" s="109"/>
      <c r="E1" s="109"/>
      <c r="F1" s="109"/>
      <c r="G1" s="109"/>
      <c r="H1" s="109"/>
    </row>
    <row r="3" spans="1:8" ht="20" customHeight="1" x14ac:dyDescent="0.35">
      <c r="A3" s="108" t="s">
        <v>324</v>
      </c>
      <c r="B3" s="109"/>
      <c r="D3" s="108" t="s">
        <v>323</v>
      </c>
      <c r="E3" s="109"/>
      <c r="G3" s="108" t="s">
        <v>322</v>
      </c>
      <c r="H3" s="109"/>
    </row>
    <row r="4" spans="1:8" x14ac:dyDescent="0.35">
      <c r="A4" s="64" t="s">
        <v>321</v>
      </c>
      <c r="B4" s="58"/>
      <c r="D4" s="64" t="s">
        <v>320</v>
      </c>
      <c r="E4" s="58">
        <f>B5-B4</f>
        <v>0</v>
      </c>
      <c r="G4" s="64" t="s">
        <v>319</v>
      </c>
      <c r="H4" s="68" t="str">
        <f>IF(OR($B$9="",$B$10=""),"",($B$10-$B$9)/$B$9)</f>
        <v/>
      </c>
    </row>
    <row r="5" spans="1:8" x14ac:dyDescent="0.35">
      <c r="A5" s="66" t="s">
        <v>318</v>
      </c>
      <c r="B5" s="60"/>
      <c r="D5" s="66" t="s">
        <v>317</v>
      </c>
      <c r="E5" s="65">
        <f>IFERROR(E4/B5,0)</f>
        <v>0</v>
      </c>
      <c r="G5" s="66" t="s">
        <v>316</v>
      </c>
      <c r="H5" s="65" t="str">
        <f>IF(OR(H4="",$B$11=""),"",(1+H4)^(1/$B$11)-1)</f>
        <v/>
      </c>
    </row>
    <row r="6" spans="1:8" x14ac:dyDescent="0.35">
      <c r="A6" s="64" t="s">
        <v>315</v>
      </c>
      <c r="B6" s="63"/>
      <c r="D6" s="64" t="s">
        <v>314</v>
      </c>
      <c r="E6" s="68">
        <f>IFERROR(E4/B4,0)</f>
        <v>0</v>
      </c>
    </row>
    <row r="7" spans="1:8" x14ac:dyDescent="0.35">
      <c r="A7" s="66" t="s">
        <v>313</v>
      </c>
      <c r="B7" s="65"/>
      <c r="D7" s="66" t="s">
        <v>312</v>
      </c>
      <c r="E7" s="60">
        <f>IFERROR(B4/B8,0)</f>
        <v>0</v>
      </c>
    </row>
    <row r="8" spans="1:8" x14ac:dyDescent="0.35">
      <c r="A8" s="64" t="s">
        <v>311</v>
      </c>
      <c r="B8" s="63"/>
      <c r="D8" s="64" t="s">
        <v>310</v>
      </c>
      <c r="E8" s="58">
        <f>IFERROR(B5/B8,0)</f>
        <v>0</v>
      </c>
    </row>
    <row r="9" spans="1:8" x14ac:dyDescent="0.35">
      <c r="A9" s="66" t="s">
        <v>309</v>
      </c>
      <c r="B9" s="60"/>
    </row>
    <row r="10" spans="1:8" ht="20" customHeight="1" x14ac:dyDescent="0.35">
      <c r="A10" s="64" t="s">
        <v>308</v>
      </c>
      <c r="B10" s="58"/>
      <c r="D10" s="108" t="s">
        <v>307</v>
      </c>
      <c r="E10" s="109"/>
    </row>
    <row r="11" spans="1:8" x14ac:dyDescent="0.35">
      <c r="A11" s="66" t="s">
        <v>306</v>
      </c>
      <c r="B11" s="67"/>
      <c r="D11" s="64" t="s">
        <v>305</v>
      </c>
      <c r="E11" s="58">
        <f>NPV(B7,B16:B75)+B15</f>
        <v>0</v>
      </c>
    </row>
    <row r="12" spans="1:8" x14ac:dyDescent="0.35">
      <c r="D12" s="66" t="s">
        <v>304</v>
      </c>
      <c r="E12" s="65" t="e">
        <f>IRR(B15:B75)</f>
        <v>#NUM!</v>
      </c>
    </row>
    <row r="13" spans="1:8" ht="20" customHeight="1" x14ac:dyDescent="0.35">
      <c r="A13" s="108" t="s">
        <v>303</v>
      </c>
      <c r="B13" s="109"/>
      <c r="D13" s="64" t="s">
        <v>302</v>
      </c>
      <c r="E13" s="63" t="str">
        <f ca="1">IFERROR(XMATCH(TRUE,C15:C75&gt;=0,0)-1,"")</f>
        <v/>
      </c>
    </row>
    <row r="14" spans="1:8" x14ac:dyDescent="0.35">
      <c r="A14" s="62" t="s">
        <v>301</v>
      </c>
      <c r="B14" s="62" t="s">
        <v>300</v>
      </c>
      <c r="C14" s="62" t="s">
        <v>299</v>
      </c>
    </row>
    <row r="15" spans="1:8" x14ac:dyDescent="0.35">
      <c r="A15" s="59">
        <v>0</v>
      </c>
      <c r="B15" s="58">
        <f>IF(A15=0,-B4,IF(A15=B6,B5,0))</f>
        <v>0</v>
      </c>
      <c r="C15" s="58">
        <f>B15</f>
        <v>0</v>
      </c>
    </row>
    <row r="16" spans="1:8" x14ac:dyDescent="0.35">
      <c r="A16" s="61">
        <v>1</v>
      </c>
      <c r="B16" s="60">
        <f>IF(A16=0,-B4,IF(A16=B6,B5,0))</f>
        <v>0</v>
      </c>
      <c r="C16" s="60">
        <f t="shared" ref="C16:C47" si="0">C15+B16</f>
        <v>0</v>
      </c>
    </row>
    <row r="17" spans="1:3" x14ac:dyDescent="0.35">
      <c r="A17" s="59">
        <v>2</v>
      </c>
      <c r="B17" s="58">
        <f>IF(A17=0,-B4,IF(A17=B6,B5,0))</f>
        <v>0</v>
      </c>
      <c r="C17" s="58">
        <f t="shared" si="0"/>
        <v>0</v>
      </c>
    </row>
    <row r="18" spans="1:3" x14ac:dyDescent="0.35">
      <c r="A18" s="61">
        <v>3</v>
      </c>
      <c r="B18" s="60">
        <f>IF(A18=0,-B4,IF(A18=B6,B5,0))</f>
        <v>0</v>
      </c>
      <c r="C18" s="60">
        <f t="shared" si="0"/>
        <v>0</v>
      </c>
    </row>
    <row r="19" spans="1:3" x14ac:dyDescent="0.35">
      <c r="A19" s="59">
        <v>4</v>
      </c>
      <c r="B19" s="58">
        <f>IF(A19=0,-B4,IF(A19=B6,B5,0))</f>
        <v>0</v>
      </c>
      <c r="C19" s="58">
        <f t="shared" si="0"/>
        <v>0</v>
      </c>
    </row>
    <row r="20" spans="1:3" x14ac:dyDescent="0.35">
      <c r="A20" s="61">
        <v>5</v>
      </c>
      <c r="B20" s="60">
        <f>IF(A20=0,-B4,IF(A20=B6,B5,0))</f>
        <v>0</v>
      </c>
      <c r="C20" s="60">
        <f t="shared" si="0"/>
        <v>0</v>
      </c>
    </row>
    <row r="21" spans="1:3" x14ac:dyDescent="0.35">
      <c r="A21" s="59">
        <v>6</v>
      </c>
      <c r="B21" s="58">
        <f>IF(A21=0,-B4,IF(A21=B6,B5,0))</f>
        <v>0</v>
      </c>
      <c r="C21" s="58">
        <f t="shared" si="0"/>
        <v>0</v>
      </c>
    </row>
    <row r="22" spans="1:3" x14ac:dyDescent="0.35">
      <c r="A22" s="61">
        <v>7</v>
      </c>
      <c r="B22" s="60">
        <f>IF(A22=0,-B4,IF(A22=B6,B5,0))</f>
        <v>0</v>
      </c>
      <c r="C22" s="60">
        <f t="shared" si="0"/>
        <v>0</v>
      </c>
    </row>
    <row r="23" spans="1:3" x14ac:dyDescent="0.35">
      <c r="A23" s="59">
        <v>8</v>
      </c>
      <c r="B23" s="58">
        <f>IF(A23=0,-B4,IF(A23=B6,B5,0))</f>
        <v>0</v>
      </c>
      <c r="C23" s="58">
        <f t="shared" si="0"/>
        <v>0</v>
      </c>
    </row>
    <row r="24" spans="1:3" x14ac:dyDescent="0.35">
      <c r="A24" s="61">
        <v>9</v>
      </c>
      <c r="B24" s="60">
        <f>IF(A24=0,-B4,IF(A24=B6,B5,0))</f>
        <v>0</v>
      </c>
      <c r="C24" s="60">
        <f t="shared" si="0"/>
        <v>0</v>
      </c>
    </row>
    <row r="25" spans="1:3" x14ac:dyDescent="0.35">
      <c r="A25" s="59">
        <v>10</v>
      </c>
      <c r="B25" s="58">
        <f>IF(A25=0,-B4,IF(A25=B6,B5,0))</f>
        <v>0</v>
      </c>
      <c r="C25" s="58">
        <f t="shared" si="0"/>
        <v>0</v>
      </c>
    </row>
    <row r="26" spans="1:3" x14ac:dyDescent="0.35">
      <c r="A26" s="61">
        <v>11</v>
      </c>
      <c r="B26" s="60">
        <f>IF(A26=0,-B4,IF(A26=B6,B5,0))</f>
        <v>0</v>
      </c>
      <c r="C26" s="60">
        <f t="shared" si="0"/>
        <v>0</v>
      </c>
    </row>
    <row r="27" spans="1:3" x14ac:dyDescent="0.35">
      <c r="A27" s="59">
        <v>12</v>
      </c>
      <c r="B27" s="58">
        <f>IF(A27=0,-B4,IF(A27=B6,B5,0))</f>
        <v>0</v>
      </c>
      <c r="C27" s="58">
        <f t="shared" si="0"/>
        <v>0</v>
      </c>
    </row>
    <row r="28" spans="1:3" x14ac:dyDescent="0.35">
      <c r="A28" s="61">
        <v>13</v>
      </c>
      <c r="B28" s="60">
        <f>IF(A28=0,-B4,IF(A28=B6,B5,0))</f>
        <v>0</v>
      </c>
      <c r="C28" s="60">
        <f t="shared" si="0"/>
        <v>0</v>
      </c>
    </row>
    <row r="29" spans="1:3" x14ac:dyDescent="0.35">
      <c r="A29" s="59">
        <v>14</v>
      </c>
      <c r="B29" s="58">
        <f>IF(A29=0,-B4,IF(A29=B6,B5,0))</f>
        <v>0</v>
      </c>
      <c r="C29" s="58">
        <f t="shared" si="0"/>
        <v>0</v>
      </c>
    </row>
    <row r="30" spans="1:3" x14ac:dyDescent="0.35">
      <c r="A30" s="61">
        <v>15</v>
      </c>
      <c r="B30" s="60">
        <f>IF(A30=0,-B4,IF(A30=B6,B5,0))</f>
        <v>0</v>
      </c>
      <c r="C30" s="60">
        <f t="shared" si="0"/>
        <v>0</v>
      </c>
    </row>
    <row r="31" spans="1:3" x14ac:dyDescent="0.35">
      <c r="A31" s="59">
        <v>16</v>
      </c>
      <c r="B31" s="58">
        <f>IF(A31=0,-B4,IF(A31=B6,B5,0))</f>
        <v>0</v>
      </c>
      <c r="C31" s="58">
        <f t="shared" si="0"/>
        <v>0</v>
      </c>
    </row>
    <row r="32" spans="1:3" x14ac:dyDescent="0.35">
      <c r="A32" s="61">
        <v>17</v>
      </c>
      <c r="B32" s="60">
        <f>IF(A32=0,-B4,IF(A32=B6,B5,0))</f>
        <v>0</v>
      </c>
      <c r="C32" s="60">
        <f t="shared" si="0"/>
        <v>0</v>
      </c>
    </row>
    <row r="33" spans="1:3" x14ac:dyDescent="0.35">
      <c r="A33" s="59">
        <v>18</v>
      </c>
      <c r="B33" s="58">
        <f>IF(A33=0,-B4,IF(A33=B6,B5,0))</f>
        <v>0</v>
      </c>
      <c r="C33" s="58">
        <f t="shared" si="0"/>
        <v>0</v>
      </c>
    </row>
    <row r="34" spans="1:3" x14ac:dyDescent="0.35">
      <c r="A34" s="61">
        <v>19</v>
      </c>
      <c r="B34" s="60">
        <f>IF(A34=0,-B4,IF(A34=B6,B5,0))</f>
        <v>0</v>
      </c>
      <c r="C34" s="60">
        <f t="shared" si="0"/>
        <v>0</v>
      </c>
    </row>
    <row r="35" spans="1:3" x14ac:dyDescent="0.35">
      <c r="A35" s="59">
        <v>20</v>
      </c>
      <c r="B35" s="58">
        <f>IF(A35=0,-B4,IF(A35=B6,B5,0))</f>
        <v>0</v>
      </c>
      <c r="C35" s="58">
        <f t="shared" si="0"/>
        <v>0</v>
      </c>
    </row>
    <row r="36" spans="1:3" x14ac:dyDescent="0.35">
      <c r="A36" s="61">
        <v>21</v>
      </c>
      <c r="B36" s="60">
        <f>IF(A36=0,-B4,IF(A36=B6,B5,0))</f>
        <v>0</v>
      </c>
      <c r="C36" s="60">
        <f t="shared" si="0"/>
        <v>0</v>
      </c>
    </row>
    <row r="37" spans="1:3" x14ac:dyDescent="0.35">
      <c r="A37" s="59">
        <v>22</v>
      </c>
      <c r="B37" s="58">
        <f>IF(A37=0,-B4,IF(A37=B6,B5,0))</f>
        <v>0</v>
      </c>
      <c r="C37" s="58">
        <f t="shared" si="0"/>
        <v>0</v>
      </c>
    </row>
    <row r="38" spans="1:3" x14ac:dyDescent="0.35">
      <c r="A38" s="61">
        <v>23</v>
      </c>
      <c r="B38" s="60">
        <f>IF(A38=0,-B4,IF(A38=B6,B5,0))</f>
        <v>0</v>
      </c>
      <c r="C38" s="60">
        <f t="shared" si="0"/>
        <v>0</v>
      </c>
    </row>
    <row r="39" spans="1:3" x14ac:dyDescent="0.35">
      <c r="A39" s="59">
        <v>24</v>
      </c>
      <c r="B39" s="58">
        <f>IF(A39=0,-B4,IF(A39=B6,B5,0))</f>
        <v>0</v>
      </c>
      <c r="C39" s="58">
        <f t="shared" si="0"/>
        <v>0</v>
      </c>
    </row>
    <row r="40" spans="1:3" x14ac:dyDescent="0.35">
      <c r="A40" s="61">
        <v>25</v>
      </c>
      <c r="B40" s="60">
        <f>IF(A40=0,-B4,IF(A40=B6,B5,0))</f>
        <v>0</v>
      </c>
      <c r="C40" s="60">
        <f t="shared" si="0"/>
        <v>0</v>
      </c>
    </row>
    <row r="41" spans="1:3" x14ac:dyDescent="0.35">
      <c r="A41" s="59">
        <v>26</v>
      </c>
      <c r="B41" s="58">
        <f>IF(A41=0,-B4,IF(A41=B6,B5,0))</f>
        <v>0</v>
      </c>
      <c r="C41" s="58">
        <f t="shared" si="0"/>
        <v>0</v>
      </c>
    </row>
    <row r="42" spans="1:3" x14ac:dyDescent="0.35">
      <c r="A42" s="61">
        <v>27</v>
      </c>
      <c r="B42" s="60">
        <f>IF(A42=0,-B4,IF(A42=B6,B5,0))</f>
        <v>0</v>
      </c>
      <c r="C42" s="60">
        <f t="shared" si="0"/>
        <v>0</v>
      </c>
    </row>
    <row r="43" spans="1:3" x14ac:dyDescent="0.35">
      <c r="A43" s="59">
        <v>28</v>
      </c>
      <c r="B43" s="58">
        <f>IF(A43=0,-B4,IF(A43=B6,B5,0))</f>
        <v>0</v>
      </c>
      <c r="C43" s="58">
        <f t="shared" si="0"/>
        <v>0</v>
      </c>
    </row>
    <row r="44" spans="1:3" x14ac:dyDescent="0.35">
      <c r="A44" s="61">
        <v>29</v>
      </c>
      <c r="B44" s="60">
        <f>IF(A44=0,-B4,IF(A44=B6,B5,0))</f>
        <v>0</v>
      </c>
      <c r="C44" s="60">
        <f t="shared" si="0"/>
        <v>0</v>
      </c>
    </row>
    <row r="45" spans="1:3" x14ac:dyDescent="0.35">
      <c r="A45" s="59">
        <v>30</v>
      </c>
      <c r="B45" s="58">
        <f>IF(A45=0,-B4,IF(A45=B6,B5,0))</f>
        <v>0</v>
      </c>
      <c r="C45" s="58">
        <f t="shared" si="0"/>
        <v>0</v>
      </c>
    </row>
    <row r="46" spans="1:3" x14ac:dyDescent="0.35">
      <c r="A46" s="61">
        <v>31</v>
      </c>
      <c r="B46" s="60">
        <f>IF(A46=0,-B4,IF(A46=B6,B5,0))</f>
        <v>0</v>
      </c>
      <c r="C46" s="60">
        <f t="shared" si="0"/>
        <v>0</v>
      </c>
    </row>
    <row r="47" spans="1:3" x14ac:dyDescent="0.35">
      <c r="A47" s="59">
        <v>32</v>
      </c>
      <c r="B47" s="58">
        <f>IF(A47=0,-B4,IF(A47=B6,B5,0))</f>
        <v>0</v>
      </c>
      <c r="C47" s="58">
        <f t="shared" si="0"/>
        <v>0</v>
      </c>
    </row>
    <row r="48" spans="1:3" x14ac:dyDescent="0.35">
      <c r="A48" s="61">
        <v>33</v>
      </c>
      <c r="B48" s="60">
        <f>IF(A48=0,-B4,IF(A48=B6,B5,0))</f>
        <v>0</v>
      </c>
      <c r="C48" s="60">
        <f t="shared" ref="C48:C75" si="1">C47+B48</f>
        <v>0</v>
      </c>
    </row>
    <row r="49" spans="1:3" x14ac:dyDescent="0.35">
      <c r="A49" s="59">
        <v>34</v>
      </c>
      <c r="B49" s="58">
        <f>IF(A49=0,-B4,IF(A49=B6,B5,0))</f>
        <v>0</v>
      </c>
      <c r="C49" s="58">
        <f t="shared" si="1"/>
        <v>0</v>
      </c>
    </row>
    <row r="50" spans="1:3" x14ac:dyDescent="0.35">
      <c r="A50" s="61">
        <v>35</v>
      </c>
      <c r="B50" s="60">
        <f>IF(A50=0,-B4,IF(A50=B6,B5,0))</f>
        <v>0</v>
      </c>
      <c r="C50" s="60">
        <f t="shared" si="1"/>
        <v>0</v>
      </c>
    </row>
    <row r="51" spans="1:3" x14ac:dyDescent="0.35">
      <c r="A51" s="59">
        <v>36</v>
      </c>
      <c r="B51" s="58">
        <f>IF(A51=0,-B4,IF(A51=B6,B5,0))</f>
        <v>0</v>
      </c>
      <c r="C51" s="58">
        <f t="shared" si="1"/>
        <v>0</v>
      </c>
    </row>
    <row r="52" spans="1:3" x14ac:dyDescent="0.35">
      <c r="A52" s="61">
        <v>37</v>
      </c>
      <c r="B52" s="60">
        <f>IF(A52=0,-B4,IF(A52=B6,B5,0))</f>
        <v>0</v>
      </c>
      <c r="C52" s="60">
        <f t="shared" si="1"/>
        <v>0</v>
      </c>
    </row>
    <row r="53" spans="1:3" x14ac:dyDescent="0.35">
      <c r="A53" s="59">
        <v>38</v>
      </c>
      <c r="B53" s="58">
        <f>IF(A53=0,-B4,IF(A53=B6,B5,0))</f>
        <v>0</v>
      </c>
      <c r="C53" s="58">
        <f t="shared" si="1"/>
        <v>0</v>
      </c>
    </row>
    <row r="54" spans="1:3" x14ac:dyDescent="0.35">
      <c r="A54" s="61">
        <v>39</v>
      </c>
      <c r="B54" s="60">
        <f>IF(A54=0,-B4,IF(A54=B6,B5,0))</f>
        <v>0</v>
      </c>
      <c r="C54" s="60">
        <f t="shared" si="1"/>
        <v>0</v>
      </c>
    </row>
    <row r="55" spans="1:3" x14ac:dyDescent="0.35">
      <c r="A55" s="59">
        <v>40</v>
      </c>
      <c r="B55" s="58">
        <f>IF(A55=0,-B4,IF(A55=B6,B5,0))</f>
        <v>0</v>
      </c>
      <c r="C55" s="58">
        <f t="shared" si="1"/>
        <v>0</v>
      </c>
    </row>
    <row r="56" spans="1:3" x14ac:dyDescent="0.35">
      <c r="A56" s="61">
        <v>41</v>
      </c>
      <c r="B56" s="60">
        <f>IF(A56=0,-B4,IF(A56=B6,B5,0))</f>
        <v>0</v>
      </c>
      <c r="C56" s="60">
        <f t="shared" si="1"/>
        <v>0</v>
      </c>
    </row>
    <row r="57" spans="1:3" x14ac:dyDescent="0.35">
      <c r="A57" s="59">
        <v>42</v>
      </c>
      <c r="B57" s="58">
        <f>IF(A57=0,-B4,IF(A57=B6,B5,0))</f>
        <v>0</v>
      </c>
      <c r="C57" s="58">
        <f t="shared" si="1"/>
        <v>0</v>
      </c>
    </row>
    <row r="58" spans="1:3" x14ac:dyDescent="0.35">
      <c r="A58" s="61">
        <v>43</v>
      </c>
      <c r="B58" s="60">
        <f>IF(A58=0,-B4,IF(A58=B6,B5,0))</f>
        <v>0</v>
      </c>
      <c r="C58" s="60">
        <f t="shared" si="1"/>
        <v>0</v>
      </c>
    </row>
    <row r="59" spans="1:3" x14ac:dyDescent="0.35">
      <c r="A59" s="59">
        <v>44</v>
      </c>
      <c r="B59" s="58">
        <f>IF(A59=0,-B4,IF(A59=B6,B5,0))</f>
        <v>0</v>
      </c>
      <c r="C59" s="58">
        <f t="shared" si="1"/>
        <v>0</v>
      </c>
    </row>
    <row r="60" spans="1:3" x14ac:dyDescent="0.35">
      <c r="A60" s="61">
        <v>45</v>
      </c>
      <c r="B60" s="60">
        <f>IF(A60=0,-B4,IF(A60=B6,B5,0))</f>
        <v>0</v>
      </c>
      <c r="C60" s="60">
        <f t="shared" si="1"/>
        <v>0</v>
      </c>
    </row>
    <row r="61" spans="1:3" x14ac:dyDescent="0.35">
      <c r="A61" s="59">
        <v>46</v>
      </c>
      <c r="B61" s="58">
        <f>IF(A61=0,-B4,IF(A61=B6,B5,0))</f>
        <v>0</v>
      </c>
      <c r="C61" s="58">
        <f t="shared" si="1"/>
        <v>0</v>
      </c>
    </row>
    <row r="62" spans="1:3" x14ac:dyDescent="0.35">
      <c r="A62" s="61">
        <v>47</v>
      </c>
      <c r="B62" s="60">
        <f>IF(A62=0,-B4,IF(A62=B6,B5,0))</f>
        <v>0</v>
      </c>
      <c r="C62" s="60">
        <f t="shared" si="1"/>
        <v>0</v>
      </c>
    </row>
    <row r="63" spans="1:3" x14ac:dyDescent="0.35">
      <c r="A63" s="59">
        <v>48</v>
      </c>
      <c r="B63" s="58">
        <f>IF(A63=0,-B4,IF(A63=B6,B5,0))</f>
        <v>0</v>
      </c>
      <c r="C63" s="58">
        <f t="shared" si="1"/>
        <v>0</v>
      </c>
    </row>
    <row r="64" spans="1:3" x14ac:dyDescent="0.35">
      <c r="A64" s="61">
        <v>49</v>
      </c>
      <c r="B64" s="60">
        <f>IF(A64=0,-B4,IF(A64=B6,B5,0))</f>
        <v>0</v>
      </c>
      <c r="C64" s="60">
        <f t="shared" si="1"/>
        <v>0</v>
      </c>
    </row>
    <row r="65" spans="1:3" x14ac:dyDescent="0.35">
      <c r="A65" s="59">
        <v>50</v>
      </c>
      <c r="B65" s="58">
        <f>IF(A65=0,-B4,IF(A65=B6,B5,0))</f>
        <v>0</v>
      </c>
      <c r="C65" s="58">
        <f t="shared" si="1"/>
        <v>0</v>
      </c>
    </row>
    <row r="66" spans="1:3" x14ac:dyDescent="0.35">
      <c r="A66" s="61">
        <v>51</v>
      </c>
      <c r="B66" s="60">
        <f>IF(A66=0,-B4,IF(A66=B6,B5,0))</f>
        <v>0</v>
      </c>
      <c r="C66" s="60">
        <f t="shared" si="1"/>
        <v>0</v>
      </c>
    </row>
    <row r="67" spans="1:3" x14ac:dyDescent="0.35">
      <c r="A67" s="59">
        <v>52</v>
      </c>
      <c r="B67" s="58">
        <f>IF(A67=0,-B4,IF(A67=B6,B5,0))</f>
        <v>0</v>
      </c>
      <c r="C67" s="58">
        <f t="shared" si="1"/>
        <v>0</v>
      </c>
    </row>
    <row r="68" spans="1:3" x14ac:dyDescent="0.35">
      <c r="A68" s="61">
        <v>53</v>
      </c>
      <c r="B68" s="60">
        <f>IF(A68=0,-B4,IF(A68=B6,B5,0))</f>
        <v>0</v>
      </c>
      <c r="C68" s="60">
        <f t="shared" si="1"/>
        <v>0</v>
      </c>
    </row>
    <row r="69" spans="1:3" x14ac:dyDescent="0.35">
      <c r="A69" s="59">
        <v>54</v>
      </c>
      <c r="B69" s="58">
        <f>IF(A69=0,-B4,IF(A69=B6,B5,0))</f>
        <v>0</v>
      </c>
      <c r="C69" s="58">
        <f t="shared" si="1"/>
        <v>0</v>
      </c>
    </row>
    <row r="70" spans="1:3" x14ac:dyDescent="0.35">
      <c r="A70" s="61">
        <v>55</v>
      </c>
      <c r="B70" s="60">
        <f>IF(A70=0,-B4,IF(A70=B6,B5,0))</f>
        <v>0</v>
      </c>
      <c r="C70" s="60">
        <f t="shared" si="1"/>
        <v>0</v>
      </c>
    </row>
    <row r="71" spans="1:3" x14ac:dyDescent="0.35">
      <c r="A71" s="59">
        <v>56</v>
      </c>
      <c r="B71" s="58">
        <f>IF(A71=0,-B4,IF(A71=B6,B5,0))</f>
        <v>0</v>
      </c>
      <c r="C71" s="58">
        <f t="shared" si="1"/>
        <v>0</v>
      </c>
    </row>
    <row r="72" spans="1:3" x14ac:dyDescent="0.35">
      <c r="A72" s="61">
        <v>57</v>
      </c>
      <c r="B72" s="60">
        <f>IF(A72=0,-B4,IF(A72=B6,B5,0))</f>
        <v>0</v>
      </c>
      <c r="C72" s="60">
        <f t="shared" si="1"/>
        <v>0</v>
      </c>
    </row>
    <row r="73" spans="1:3" x14ac:dyDescent="0.35">
      <c r="A73" s="59">
        <v>58</v>
      </c>
      <c r="B73" s="58">
        <f>IF(A73=0,-B4,IF(A73=B6,B5,0))</f>
        <v>0</v>
      </c>
      <c r="C73" s="58">
        <f t="shared" si="1"/>
        <v>0</v>
      </c>
    </row>
    <row r="74" spans="1:3" x14ac:dyDescent="0.35">
      <c r="A74" s="61">
        <v>59</v>
      </c>
      <c r="B74" s="60">
        <f>IF(A74=0,-B4,IF(A74=B6,B5,0))</f>
        <v>0</v>
      </c>
      <c r="C74" s="60">
        <f t="shared" si="1"/>
        <v>0</v>
      </c>
    </row>
    <row r="75" spans="1:3" x14ac:dyDescent="0.35">
      <c r="A75" s="59">
        <v>60</v>
      </c>
      <c r="B75" s="58">
        <f>IF(A75=0,-B4,IF(A75=B6,B5,0))</f>
        <v>0</v>
      </c>
      <c r="C75" s="58">
        <f t="shared" si="1"/>
        <v>0</v>
      </c>
    </row>
  </sheetData>
  <mergeCells count="6">
    <mergeCell ref="D10:E10"/>
    <mergeCell ref="A13:B13"/>
    <mergeCell ref="A1:H1"/>
    <mergeCell ref="D3:E3"/>
    <mergeCell ref="A3:B3"/>
    <mergeCell ref="G3:H3"/>
  </mergeCells>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B13" sqref="B13"/>
    </sheetView>
  </sheetViews>
  <sheetFormatPr baseColWidth="10" defaultRowHeight="14" x14ac:dyDescent="0.3"/>
  <cols>
    <col min="1" max="1" width="29.75" bestFit="1" customWidth="1"/>
    <col min="2" max="2" width="49.4140625" bestFit="1" customWidth="1"/>
    <col min="3" max="3" width="17.75" bestFit="1" customWidth="1"/>
    <col min="4" max="4" width="32" bestFit="1" customWidth="1"/>
  </cols>
  <sheetData>
    <row r="1" spans="1:4" ht="18.5" x14ac:dyDescent="0.3">
      <c r="A1" s="111" t="s">
        <v>326</v>
      </c>
      <c r="B1" s="105"/>
      <c r="C1" s="105"/>
      <c r="D1" s="105"/>
    </row>
    <row r="2" spans="1:4" ht="14.5" x14ac:dyDescent="0.3">
      <c r="A2" s="69" t="s">
        <v>327</v>
      </c>
      <c r="B2" s="69" t="s">
        <v>328</v>
      </c>
      <c r="C2" s="69" t="s">
        <v>329</v>
      </c>
      <c r="D2" s="69" t="s">
        <v>330</v>
      </c>
    </row>
    <row r="3" spans="1:4" x14ac:dyDescent="0.3">
      <c r="A3" s="70" t="s">
        <v>331</v>
      </c>
      <c r="B3" s="70" t="s">
        <v>332</v>
      </c>
      <c r="C3" s="70" t="s">
        <v>333</v>
      </c>
      <c r="D3" s="70" t="s">
        <v>334</v>
      </c>
    </row>
    <row r="4" spans="1:4" x14ac:dyDescent="0.3">
      <c r="A4" s="71" t="s">
        <v>335</v>
      </c>
      <c r="B4" s="71" t="s">
        <v>336</v>
      </c>
      <c r="C4" s="71" t="s">
        <v>337</v>
      </c>
      <c r="D4" s="71" t="s">
        <v>338</v>
      </c>
    </row>
    <row r="5" spans="1:4" x14ac:dyDescent="0.3">
      <c r="A5" s="70" t="s">
        <v>339</v>
      </c>
      <c r="B5" s="70" t="s">
        <v>340</v>
      </c>
      <c r="C5" s="70" t="s">
        <v>341</v>
      </c>
      <c r="D5" s="70" t="s">
        <v>342</v>
      </c>
    </row>
    <row r="6" spans="1:4" x14ac:dyDescent="0.3">
      <c r="A6" s="71" t="s">
        <v>343</v>
      </c>
      <c r="B6" s="71" t="s">
        <v>344</v>
      </c>
      <c r="C6" s="71" t="s">
        <v>345</v>
      </c>
      <c r="D6" s="71" t="s">
        <v>346</v>
      </c>
    </row>
    <row r="7" spans="1:4" x14ac:dyDescent="0.3">
      <c r="A7" s="70" t="s">
        <v>347</v>
      </c>
      <c r="B7" s="70" t="s">
        <v>348</v>
      </c>
      <c r="C7" s="70" t="s">
        <v>349</v>
      </c>
      <c r="D7" s="70" t="s">
        <v>350</v>
      </c>
    </row>
    <row r="8" spans="1:4" x14ac:dyDescent="0.3">
      <c r="A8" s="71" t="s">
        <v>351</v>
      </c>
      <c r="B8" s="71" t="s">
        <v>352</v>
      </c>
      <c r="C8" s="71" t="s">
        <v>353</v>
      </c>
      <c r="D8" s="71" t="s">
        <v>354</v>
      </c>
    </row>
    <row r="9" spans="1:4" x14ac:dyDescent="0.3">
      <c r="A9" s="70" t="s">
        <v>355</v>
      </c>
      <c r="B9" s="70" t="s">
        <v>356</v>
      </c>
      <c r="C9" s="70" t="s">
        <v>357</v>
      </c>
      <c r="D9" s="70" t="s">
        <v>358</v>
      </c>
    </row>
    <row r="10" spans="1:4" x14ac:dyDescent="0.3">
      <c r="A10" s="71" t="s">
        <v>359</v>
      </c>
      <c r="B10" s="71" t="s">
        <v>360</v>
      </c>
      <c r="C10" s="71" t="s">
        <v>361</v>
      </c>
      <c r="D10" s="71" t="s">
        <v>362</v>
      </c>
    </row>
  </sheetData>
  <mergeCells count="1">
    <mergeCell ref="A1:D1"/>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C12" sqref="C12"/>
    </sheetView>
  </sheetViews>
  <sheetFormatPr baseColWidth="10" defaultRowHeight="14" x14ac:dyDescent="0.3"/>
  <cols>
    <col min="1" max="1" width="9.5" bestFit="1" customWidth="1"/>
    <col min="2" max="2" width="22.58203125" customWidth="1"/>
    <col min="3" max="3" width="23.83203125" customWidth="1"/>
    <col min="4" max="4" width="19.83203125" customWidth="1"/>
  </cols>
  <sheetData>
    <row r="1" spans="1:4" x14ac:dyDescent="0.3">
      <c r="A1" s="54" t="s">
        <v>363</v>
      </c>
      <c r="B1" s="54" t="s">
        <v>364</v>
      </c>
      <c r="C1" s="54" t="s">
        <v>365</v>
      </c>
      <c r="D1" s="54" t="s">
        <v>366</v>
      </c>
    </row>
    <row r="2" spans="1:4" ht="56" x14ac:dyDescent="0.3">
      <c r="A2" s="9" t="s">
        <v>367</v>
      </c>
      <c r="B2" s="9" t="s">
        <v>368</v>
      </c>
      <c r="C2" s="9" t="s">
        <v>369</v>
      </c>
      <c r="D2" s="9" t="s">
        <v>370</v>
      </c>
    </row>
    <row r="3" spans="1:4" ht="42" x14ac:dyDescent="0.3">
      <c r="A3" s="9" t="s">
        <v>371</v>
      </c>
      <c r="B3" s="9" t="s">
        <v>372</v>
      </c>
      <c r="C3" s="9" t="s">
        <v>373</v>
      </c>
      <c r="D3" s="9" t="s">
        <v>374</v>
      </c>
    </row>
    <row r="4" spans="1:4" ht="28" x14ac:dyDescent="0.3">
      <c r="A4" s="9" t="s">
        <v>375</v>
      </c>
      <c r="B4" s="9" t="s">
        <v>376</v>
      </c>
      <c r="C4" s="9" t="s">
        <v>377</v>
      </c>
      <c r="D4" s="9" t="s">
        <v>378</v>
      </c>
    </row>
    <row r="5" spans="1:4" ht="28" x14ac:dyDescent="0.3">
      <c r="A5" s="9" t="s">
        <v>379</v>
      </c>
      <c r="B5" s="9" t="s">
        <v>380</v>
      </c>
      <c r="C5" s="9" t="s">
        <v>381</v>
      </c>
      <c r="D5" s="9" t="s">
        <v>382</v>
      </c>
    </row>
    <row r="6" spans="1:4" ht="28" x14ac:dyDescent="0.3">
      <c r="A6" s="9" t="s">
        <v>383</v>
      </c>
      <c r="B6" s="9" t="s">
        <v>384</v>
      </c>
      <c r="C6" s="9" t="s">
        <v>385</v>
      </c>
      <c r="D6" s="9" t="s">
        <v>386</v>
      </c>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selection activeCell="D6" sqref="D6"/>
    </sheetView>
  </sheetViews>
  <sheetFormatPr baseColWidth="10" defaultRowHeight="14" x14ac:dyDescent="0.3"/>
  <cols>
    <col min="1" max="1" width="30.08203125" bestFit="1" customWidth="1"/>
    <col min="2" max="2" width="19.4140625" customWidth="1"/>
  </cols>
  <sheetData>
    <row r="1" spans="1:5" s="72" customFormat="1" ht="25" x14ac:dyDescent="0.5">
      <c r="A1" s="75" t="s">
        <v>396</v>
      </c>
      <c r="B1" s="75"/>
      <c r="C1" s="75"/>
      <c r="D1" s="75"/>
      <c r="E1" s="74"/>
    </row>
    <row r="2" spans="1:5" s="72" customFormat="1" x14ac:dyDescent="0.3"/>
    <row r="3" spans="1:5" x14ac:dyDescent="0.3">
      <c r="A3" s="54" t="s">
        <v>363</v>
      </c>
      <c r="B3" s="54" t="s">
        <v>387</v>
      </c>
    </row>
    <row r="4" spans="1:5" x14ac:dyDescent="0.3">
      <c r="A4" s="9" t="s">
        <v>388</v>
      </c>
      <c r="B4" s="76">
        <v>1500000</v>
      </c>
    </row>
    <row r="5" spans="1:5" x14ac:dyDescent="0.3">
      <c r="A5" s="9" t="s">
        <v>389</v>
      </c>
      <c r="B5" s="9" t="s">
        <v>390</v>
      </c>
    </row>
    <row r="6" spans="1:5" x14ac:dyDescent="0.3">
      <c r="A6" s="9" t="s">
        <v>391</v>
      </c>
      <c r="B6" s="9" t="s">
        <v>392</v>
      </c>
    </row>
    <row r="7" spans="1:5" x14ac:dyDescent="0.3">
      <c r="A7" s="9" t="s">
        <v>393</v>
      </c>
      <c r="B7" s="9" t="s">
        <v>394</v>
      </c>
    </row>
    <row r="8" spans="1:5" x14ac:dyDescent="0.3">
      <c r="A8" s="9" t="s">
        <v>395</v>
      </c>
      <c r="B8" s="9" t="s">
        <v>226</v>
      </c>
    </row>
  </sheetData>
  <pageMargins left="0.7" right="0.7" top="0.75" bottom="0.75" header="0.3" footer="0.3"/>
  <pageSetup orientation="portrait" horizontalDpi="360" verticalDpi="360"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Requisitos</vt:lpstr>
      <vt:lpstr>Modelo General</vt:lpstr>
      <vt:lpstr>Precio casa en venta</vt:lpstr>
      <vt:lpstr>Materiales</vt:lpstr>
      <vt:lpstr>Riesgos </vt:lpstr>
      <vt:lpstr>Tecnología</vt:lpstr>
      <vt:lpstr>Metricas Financieras</vt:lpstr>
      <vt:lpstr>Indicadores de mercado</vt:lpstr>
      <vt:lpstr>Perfil de demanda</vt:lpstr>
      <vt:lpstr>Credito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Gama</dc:creator>
  <cp:lastModifiedBy>Alan Gama</cp:lastModifiedBy>
  <dcterms:created xsi:type="dcterms:W3CDTF">2026-01-20T18:48:42Z</dcterms:created>
  <dcterms:modified xsi:type="dcterms:W3CDTF">2026-03-20T00:29:22Z</dcterms:modified>
</cp:coreProperties>
</file>